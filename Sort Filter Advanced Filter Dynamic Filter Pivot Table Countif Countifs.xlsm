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Excel1\Excel Training\"/>
    </mc:Choice>
  </mc:AlternateContent>
  <xr:revisionPtr revIDLastSave="0" documentId="13_ncr:1_{FDC289A4-CA75-43E7-BD9A-710E26201965}" xr6:coauthVersionLast="47" xr6:coauthVersionMax="47" xr10:uidLastSave="{00000000-0000-0000-0000-000000000000}"/>
  <bookViews>
    <workbookView xWindow="-108" yWindow="-108" windowWidth="23256" windowHeight="12456" tabRatio="663" firstSheet="11" activeTab="19" xr2:uid="{00000000-000D-0000-FFFF-FFFF00000000}"/>
  </bookViews>
  <sheets>
    <sheet name="Topics" sheetId="1" r:id="rId1"/>
    <sheet name="D" sheetId="9" r:id="rId2"/>
    <sheet name="S(1)" sheetId="3" r:id="rId3"/>
    <sheet name="S(2)" sheetId="15" r:id="rId4"/>
    <sheet name="S(3)" sheetId="16" r:id="rId5"/>
    <sheet name="F(1)" sheetId="4" r:id="rId6"/>
    <sheet name="F(2)" sheetId="17" r:id="rId7"/>
    <sheet name="F(3)" sheetId="18" r:id="rId8"/>
    <sheet name="F(4)" sheetId="19" r:id="rId9"/>
    <sheet name="F(5)" sheetId="20" r:id="rId10"/>
    <sheet name="Adv F1" sheetId="31" r:id="rId11"/>
    <sheet name="Adv F2" sheetId="32" r:id="rId12"/>
    <sheet name="Adv F3" sheetId="33" r:id="rId13"/>
    <sheet name="Dynamic Filters" sheetId="34" r:id="rId14"/>
    <sheet name="PT(1)" sheetId="5" r:id="rId15"/>
    <sheet name="PT(2)" sheetId="22" r:id="rId16"/>
    <sheet name="PT(3)" sheetId="23" r:id="rId17"/>
    <sheet name="PT(4)" sheetId="25" r:id="rId18"/>
    <sheet name="PT(5)" sheetId="27" r:id="rId19"/>
    <sheet name="C(1)" sheetId="8" r:id="rId20"/>
    <sheet name="For(1)" sheetId="6" r:id="rId21"/>
    <sheet name="For(2)" sheetId="28" r:id="rId22"/>
    <sheet name="For(3)" sheetId="30" r:id="rId23"/>
  </sheets>
  <definedNames>
    <definedName name="_xlnm._FilterDatabase" localSheetId="10" hidden="1">'Adv F1'!$C$3:$F$13</definedName>
    <definedName name="_xlnm._FilterDatabase" localSheetId="11" hidden="1">'Adv F2'!$C$4:$F$14</definedName>
    <definedName name="_xlnm._FilterDatabase" localSheetId="12" hidden="1">'Adv F3'!$C$3:$I$18</definedName>
    <definedName name="_xlnm._FilterDatabase" localSheetId="7" hidden="1">'F(3)'!$A$4:$D$14</definedName>
    <definedName name="_xlnm._FilterDatabase" localSheetId="8" hidden="1">'F(4)'!$A$4:$D$14</definedName>
    <definedName name="_xlnm._FilterDatabase" localSheetId="9" hidden="1">'F(5)'!$A$4:$D$14</definedName>
    <definedName name="_xlnm._FilterDatabase" localSheetId="20" hidden="1">'For(1)'!$C$5:$C$65</definedName>
    <definedName name="_xlnm._FilterDatabase" localSheetId="21" hidden="1">'For(2)'!$C$4:$C$64</definedName>
    <definedName name="_xlnm._FilterDatabase" localSheetId="22" hidden="1">'For(3)'!$C$4:$C$64</definedName>
    <definedName name="_xlnm._FilterDatabase" localSheetId="4" hidden="1">'S(3)'!$B$4:$J$204</definedName>
    <definedName name="_xlnm.Criteria" localSheetId="10">'Adv F1'!$I$1:$I$2</definedName>
    <definedName name="_xlnm.Criteria" localSheetId="11">'Adv F2'!$I$2:$J$3</definedName>
    <definedName name="_xlnm.Criteria" localSheetId="12">'Adv F3'!$M$1:$M$2</definedName>
    <definedName name="_xlnm.Extract" localSheetId="10">'Adv F1'!$I$24:$L$24</definedName>
    <definedName name="_xlnm.Extract" localSheetId="11">'Adv F2'!$J$21:$M$21</definedName>
    <definedName name="_xlnm.Extract" localSheetId="12">'Adv F3'!$M$13:$S$13</definedName>
    <definedName name="_xlnm.Extract" localSheetId="20">'For(1)'!$H$5</definedName>
    <definedName name="_xlnm.Extract" localSheetId="21">'For(2)'!$F$4</definedName>
    <definedName name="_xlnm.Extract" localSheetId="22">'For(3)'!$H$4</definedName>
  </definedNames>
  <calcPr calcId="191029"/>
  <pivotCaches>
    <pivotCache cacheId="0" r:id="rId24"/>
    <pivotCache cacheId="1" r:id="rId25"/>
    <pivotCache cacheId="2" r:id="rId26"/>
    <pivotCache cacheId="3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4" l="1" a="1"/>
  <c r="K4" i="34" s="1"/>
  <c r="I7" i="30" l="1"/>
  <c r="D7" i="30"/>
  <c r="I8" i="30" l="1"/>
  <c r="I9" i="30"/>
  <c r="I10" i="30"/>
  <c r="I11" i="30"/>
  <c r="I12" i="30"/>
  <c r="D8" i="30"/>
  <c r="D9" i="30"/>
  <c r="D10" i="30"/>
  <c r="D11" i="30"/>
  <c r="D12" i="30"/>
  <c r="G6" i="28"/>
  <c r="G7" i="28"/>
  <c r="G8" i="28"/>
  <c r="G9" i="28"/>
  <c r="G5" i="28"/>
  <c r="J7" i="6"/>
  <c r="J8" i="6"/>
  <c r="J9" i="6"/>
  <c r="J10" i="6"/>
  <c r="J6" i="6"/>
  <c r="I10" i="6"/>
  <c r="I7" i="6"/>
  <c r="I8" i="6"/>
  <c r="I9" i="6"/>
  <c r="I6" i="6"/>
  <c r="B43" i="1" l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A2" i="30" l="1"/>
  <c r="A2" i="28"/>
  <c r="A2" i="27"/>
  <c r="A2" i="25"/>
  <c r="M1" i="25"/>
  <c r="A2" i="23" l="1"/>
  <c r="A2" i="22"/>
  <c r="A2" i="20" l="1"/>
  <c r="A2" i="19"/>
  <c r="A2" i="18"/>
  <c r="A2" i="17"/>
  <c r="A2" i="16"/>
  <c r="A2" i="15"/>
  <c r="A2" i="9"/>
  <c r="A2" i="3"/>
  <c r="A2" i="4"/>
  <c r="A2" i="5"/>
  <c r="A2" i="6"/>
  <c r="A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<sst xmlns="http://schemas.openxmlformats.org/spreadsheetml/2006/main" count="3553" uniqueCount="346">
  <si>
    <t>Excel Data Analysis Basics: Sort, Filter, Pivot Tables, Charts and Formulas</t>
  </si>
  <si>
    <t>Sort by color</t>
  </si>
  <si>
    <t>Sort with 1 criteria</t>
  </si>
  <si>
    <t>Sort with 2 criteria or more</t>
  </si>
  <si>
    <t>Filter:</t>
  </si>
  <si>
    <t>Sort:</t>
  </si>
  <si>
    <t>Filter with 1 criteria</t>
  </si>
  <si>
    <t>Filter with 2 criteria or more</t>
  </si>
  <si>
    <t>Filter by color</t>
  </si>
  <si>
    <t>Filter by Partial Text</t>
  </si>
  <si>
    <t>Pivot Tables:</t>
  </si>
  <si>
    <t>Easy 3 step method</t>
  </si>
  <si>
    <t>Cross Tabulation</t>
  </si>
  <si>
    <t>More than one calculation</t>
  </si>
  <si>
    <t>Filter in a Pivot Table</t>
  </si>
  <si>
    <t>Charts:</t>
  </si>
  <si>
    <t>Column Charts from Pivot Tables</t>
  </si>
  <si>
    <t>Formulas:</t>
  </si>
  <si>
    <t>Formula to Compare Two Lists</t>
  </si>
  <si>
    <t>Learn how to setup your data so you can quickly do data analysis.</t>
  </si>
  <si>
    <t>Topics:</t>
  </si>
  <si>
    <t>Learn the basics of data analysis with Excel. Learn the tricks for sorting a</t>
  </si>
  <si>
    <t>data set by color, filtering a data set to find just the records that you</t>
  </si>
  <si>
    <t>want, and even how to make a PivotTable Report! If you have ever tried</t>
  </si>
  <si>
    <t>Michael Girvin will not only show you great tricks in Excel, but he will</t>
  </si>
  <si>
    <t>make it easy and fun to learn. This seminar will have something for</t>
  </si>
  <si>
    <t>everyone from the basic beginner to the advanced Excel user.</t>
  </si>
  <si>
    <t>Change the calculation</t>
  </si>
  <si>
    <t>Slicers</t>
  </si>
  <si>
    <t>What is Data Analysis?</t>
  </si>
  <si>
    <t>How Data Must Be Setup</t>
  </si>
  <si>
    <t>Data Analysis Formula or PivotTables?</t>
  </si>
  <si>
    <t>SUMIFS</t>
  </si>
  <si>
    <t>What is a PivotTable?</t>
  </si>
  <si>
    <t>Link</t>
  </si>
  <si>
    <t>Home</t>
  </si>
  <si>
    <t>Sheet Name</t>
  </si>
  <si>
    <t>Employee</t>
  </si>
  <si>
    <t>Shift</t>
  </si>
  <si>
    <t>Assembly Time</t>
  </si>
  <si>
    <t>Jo</t>
  </si>
  <si>
    <t>Sioux</t>
  </si>
  <si>
    <t>Phil</t>
  </si>
  <si>
    <t>Sue</t>
  </si>
  <si>
    <t>DA</t>
  </si>
  <si>
    <t>D</t>
  </si>
  <si>
    <t>S(1)</t>
  </si>
  <si>
    <t>S(2)</t>
  </si>
  <si>
    <t>F(1)</t>
  </si>
  <si>
    <t>F(2)</t>
  </si>
  <si>
    <t>S(3)</t>
  </si>
  <si>
    <t>F(3)</t>
  </si>
  <si>
    <t>F(4)</t>
  </si>
  <si>
    <t>F(5)</t>
  </si>
  <si>
    <t>PT(1)</t>
  </si>
  <si>
    <t>PT(2)</t>
  </si>
  <si>
    <t>PT(3)</t>
  </si>
  <si>
    <t>ForPT(1)</t>
  </si>
  <si>
    <t>C(1)</t>
  </si>
  <si>
    <t>Phone</t>
  </si>
  <si>
    <t>Division Names</t>
  </si>
  <si>
    <t>Babs</t>
  </si>
  <si>
    <t>Jeff W.</t>
  </si>
  <si>
    <t>Anthony N.</t>
  </si>
  <si>
    <t>Joy S.</t>
  </si>
  <si>
    <t>Ron S.</t>
  </si>
  <si>
    <t>List 1:</t>
  </si>
  <si>
    <t>List 2:</t>
  </si>
  <si>
    <t>Jeff T.</t>
  </si>
  <si>
    <t>Jessica N.</t>
  </si>
  <si>
    <t>Is Name in List 2 in List 1?</t>
  </si>
  <si>
    <t>Student Name</t>
  </si>
  <si>
    <t>Major</t>
  </si>
  <si>
    <t>Class</t>
  </si>
  <si>
    <t>Grade</t>
  </si>
  <si>
    <t>Getting Data Into Excel</t>
  </si>
  <si>
    <t>Chin</t>
  </si>
  <si>
    <t>Mo</t>
  </si>
  <si>
    <t>Accounting</t>
  </si>
  <si>
    <t>Nursing</t>
  </si>
  <si>
    <t>Math 101</t>
  </si>
  <si>
    <t>English 101</t>
  </si>
  <si>
    <t>Average of Grade</t>
  </si>
  <si>
    <t>Erinn Kraeger</t>
  </si>
  <si>
    <t>Devorah Passe</t>
  </si>
  <si>
    <t>Tommie Colborn</t>
  </si>
  <si>
    <t>Shirleen Surrey</t>
  </si>
  <si>
    <t>Devorah Flight</t>
  </si>
  <si>
    <t>Domingo Schoppe</t>
  </si>
  <si>
    <t>Annett Stefanelli</t>
  </si>
  <si>
    <t>Emilio Lindbeck</t>
  </si>
  <si>
    <t>Waltraud Kolasinski</t>
  </si>
  <si>
    <t>Waltraud Leaper</t>
  </si>
  <si>
    <t>To use Data Analysis Features in Excel, Data must be set up:</t>
  </si>
  <si>
    <t>First row has Field Names (Column Headers) in first row</t>
  </si>
  <si>
    <t>Import from Access</t>
  </si>
  <si>
    <t>GD(1)</t>
  </si>
  <si>
    <t>GD(2)</t>
  </si>
  <si>
    <t>Records are in rows</t>
  </si>
  <si>
    <t>No blanks in column headers</t>
  </si>
  <si>
    <t>Try not to have blank cells</t>
  </si>
  <si>
    <t>No data next to data set</t>
  </si>
  <si>
    <t>(blanks or row/column headers all the way around data set)</t>
  </si>
  <si>
    <t>For(1)</t>
  </si>
  <si>
    <t>For(2)</t>
  </si>
  <si>
    <t>For(3)</t>
  </si>
  <si>
    <t>When sorting more than one column:</t>
  </si>
  <si>
    <t>1) Cell method: leave the Major Sort for last</t>
  </si>
  <si>
    <t>2) Use Sort Dialog Box</t>
  </si>
  <si>
    <t>Coupon</t>
  </si>
  <si>
    <t>Payment Method</t>
  </si>
  <si>
    <t>Region</t>
  </si>
  <si>
    <t>Price</t>
  </si>
  <si>
    <t>Units</t>
  </si>
  <si>
    <t>Sales</t>
  </si>
  <si>
    <t>Mastercard</t>
  </si>
  <si>
    <t>Carlota</t>
  </si>
  <si>
    <t>West</t>
  </si>
  <si>
    <t>Yanaki</t>
  </si>
  <si>
    <t>No Coupon</t>
  </si>
  <si>
    <t>Aspen</t>
  </si>
  <si>
    <t>East</t>
  </si>
  <si>
    <t>American Express</t>
  </si>
  <si>
    <t>Visa</t>
  </si>
  <si>
    <t>PayPal</t>
  </si>
  <si>
    <t>South</t>
  </si>
  <si>
    <t>Discover</t>
  </si>
  <si>
    <t>Mid West</t>
  </si>
  <si>
    <t>Sunset</t>
  </si>
  <si>
    <t>Delicate Arch</t>
  </si>
  <si>
    <t>Bellen</t>
  </si>
  <si>
    <t>Age</t>
  </si>
  <si>
    <t>Product</t>
  </si>
  <si>
    <t>Date</t>
  </si>
  <si>
    <t>Filter Text, Numbers, Dates</t>
  </si>
  <si>
    <t>Contact</t>
  </si>
  <si>
    <t>Bay Air Compressor</t>
  </si>
  <si>
    <t>10 H Motor</t>
  </si>
  <si>
    <t>Senco Compressor</t>
  </si>
  <si>
    <t>DeVILBISS Compressor</t>
  </si>
  <si>
    <t>Ashby Lumber</t>
  </si>
  <si>
    <t>Large Motor</t>
  </si>
  <si>
    <t>Compressor Repair Kit</t>
  </si>
  <si>
    <t>Business</t>
  </si>
  <si>
    <t>V8 Mechanic Service</t>
  </si>
  <si>
    <t>Dave</t>
  </si>
  <si>
    <t>Tommy</t>
  </si>
  <si>
    <t>Hal</t>
  </si>
  <si>
    <t>Pay</t>
  </si>
  <si>
    <t>313-443-4435</t>
  </si>
  <si>
    <t>502-720-5112</t>
  </si>
  <si>
    <t>267-703-6244</t>
  </si>
  <si>
    <t>809-640-6790</t>
  </si>
  <si>
    <t>508-370-6184</t>
  </si>
  <si>
    <t>314-524-9500</t>
  </si>
  <si>
    <t>593-805-2524</t>
  </si>
  <si>
    <t>866-348-1778</t>
  </si>
  <si>
    <t>596-541-9817</t>
  </si>
  <si>
    <t>A feature that can easily make calculations with 1 or more criteria</t>
  </si>
  <si>
    <t>PT(4)</t>
  </si>
  <si>
    <t>PT(5)</t>
  </si>
  <si>
    <t>Grand Total</t>
  </si>
  <si>
    <t>numbers in the grade column</t>
  </si>
  <si>
    <t>* Calculating an average, not of all the</t>
  </si>
  <si>
    <t>* Calculating average with 2 criteria</t>
  </si>
  <si>
    <t xml:space="preserve">1) </t>
  </si>
  <si>
    <t xml:space="preserve">2) </t>
  </si>
  <si>
    <t xml:space="preserve">3) </t>
  </si>
  <si>
    <t>Insert Tab, Table, PivotTable</t>
  </si>
  <si>
    <r>
      <rPr>
        <b/>
        <sz val="11"/>
        <color theme="1"/>
        <rFont val="Calibri"/>
        <family val="2"/>
        <scheme val="minor"/>
      </rPr>
      <t>Click in single cell</t>
    </r>
    <r>
      <rPr>
        <sz val="11"/>
        <color theme="1"/>
        <rFont val="Calibri"/>
        <family val="2"/>
        <scheme val="minor"/>
      </rPr>
      <t xml:space="preserve"> in column you want to sort: 1) Right-click, 2) Home Tab, 3) Data Tab</t>
    </r>
  </si>
  <si>
    <t>With a single cell selected,</t>
  </si>
  <si>
    <t>and with a picture</t>
  </si>
  <si>
    <t>of end result in your head:</t>
  </si>
  <si>
    <t>Drag fields to desired location in Field List dialog box</t>
  </si>
  <si>
    <t>Formatting:</t>
  </si>
  <si>
    <t>Design Tab, Report Layout, Tabular</t>
  </si>
  <si>
    <t>With a variable (field name, criteria) in the row and column, we</t>
  </si>
  <si>
    <t>call this a "cross tabulated" table.</t>
  </si>
  <si>
    <t>ID</t>
  </si>
  <si>
    <t>Agramonte, Lexie</t>
  </si>
  <si>
    <t>Higashi, Armanda</t>
  </si>
  <si>
    <t>Popoca, Jan</t>
  </si>
  <si>
    <t>Kinnick, Jenice</t>
  </si>
  <si>
    <t>Livesey, Annett</t>
  </si>
  <si>
    <t>Stockfisch, Angelena</t>
  </si>
  <si>
    <t>Baar, Janay</t>
  </si>
  <si>
    <t>Galen, Fae</t>
  </si>
  <si>
    <t>Sayle, Brinda</t>
  </si>
  <si>
    <t>Deppner, Mana</t>
  </si>
  <si>
    <t>Hoesly, Dimple</t>
  </si>
  <si>
    <t>Rowson, Ozella</t>
  </si>
  <si>
    <t>Streck, Tommie</t>
  </si>
  <si>
    <t>Stayner, Randal</t>
  </si>
  <si>
    <t>Simley, Boyd</t>
  </si>
  <si>
    <t>Gazzo, Darnell</t>
  </si>
  <si>
    <t>Joens, Dominick</t>
  </si>
  <si>
    <t>Stepler, Santos</t>
  </si>
  <si>
    <t>Kap, Talitha</t>
  </si>
  <si>
    <t>Menna, Roman</t>
  </si>
  <si>
    <t>Barnaba, Aubrey</t>
  </si>
  <si>
    <t>Lumbreras, Tameika</t>
  </si>
  <si>
    <t>Gottwald, Timmy</t>
  </si>
  <si>
    <t>Colgrove, Randal</t>
  </si>
  <si>
    <t>Gervin, Van</t>
  </si>
  <si>
    <t>Guedry, Emanuel</t>
  </si>
  <si>
    <t>Knaff, Santos</t>
  </si>
  <si>
    <t>Therien, Cary</t>
  </si>
  <si>
    <t>Norena, Emanuel</t>
  </si>
  <si>
    <t>Staniszewski, Isidra</t>
  </si>
  <si>
    <t>Chirinos, Waltraud</t>
  </si>
  <si>
    <t>Shown, Winston</t>
  </si>
  <si>
    <t>Tooks, Emmett</t>
  </si>
  <si>
    <t>Alcorta, Boyd</t>
  </si>
  <si>
    <t>Niedermeyer, Mika</t>
  </si>
  <si>
    <t>Busher, Jacquiline</t>
  </si>
  <si>
    <t>Okoro, Elois</t>
  </si>
  <si>
    <t>Stensrud, Erinn</t>
  </si>
  <si>
    <t>Ewings, Domingo</t>
  </si>
  <si>
    <t>Dyas, Jenice</t>
  </si>
  <si>
    <t>Mondesir, Roman</t>
  </si>
  <si>
    <t>Sherley, Aubrey</t>
  </si>
  <si>
    <t>Hackford, Abel</t>
  </si>
  <si>
    <t>Schriner, Darnell</t>
  </si>
  <si>
    <t>Hermandez, Isidra</t>
  </si>
  <si>
    <t>Eisermann, Dominick</t>
  </si>
  <si>
    <t>Mckinzey, Brendan</t>
  </si>
  <si>
    <t>Dahman, Darnell</t>
  </si>
  <si>
    <t>Zmolek, Tequila</t>
  </si>
  <si>
    <t>Cabbagestalk, Cary</t>
  </si>
  <si>
    <t>Manda, Francoise</t>
  </si>
  <si>
    <t>Constanza, Echo</t>
  </si>
  <si>
    <t>Ludemann, Emanuel</t>
  </si>
  <si>
    <t>Killman, Emmett</t>
  </si>
  <si>
    <t>Onell, Aubrey</t>
  </si>
  <si>
    <t>Wilfred, Courtney</t>
  </si>
  <si>
    <t>Stonum, Elijah</t>
  </si>
  <si>
    <t>760-81-7404</t>
  </si>
  <si>
    <t>760-37-1006</t>
  </si>
  <si>
    <t>760-57-7436</t>
  </si>
  <si>
    <t>760-71-1468</t>
  </si>
  <si>
    <t>760-89-9336</t>
  </si>
  <si>
    <t>760-87-3551</t>
  </si>
  <si>
    <t>760-69-3010</t>
  </si>
  <si>
    <t>760-53-4083</t>
  </si>
  <si>
    <t>760-68-5496</t>
  </si>
  <si>
    <t>760-52-2536</t>
  </si>
  <si>
    <t>760-33-5044</t>
  </si>
  <si>
    <t>760-24-1698</t>
  </si>
  <si>
    <t>760-55-4539</t>
  </si>
  <si>
    <t>760-76-6644</t>
  </si>
  <si>
    <t>760-92-9661</t>
  </si>
  <si>
    <t>760-53-1356</t>
  </si>
  <si>
    <t>760-99-8354</t>
  </si>
  <si>
    <t>760-56-2995</t>
  </si>
  <si>
    <t>760-86-5563</t>
  </si>
  <si>
    <t>760-16-9928</t>
  </si>
  <si>
    <t>760-43-2368</t>
  </si>
  <si>
    <t>760-78-7988</t>
  </si>
  <si>
    <t>760-85-1970</t>
  </si>
  <si>
    <t>760-49-7089</t>
  </si>
  <si>
    <t>760-98-2848</t>
  </si>
  <si>
    <t>760-26-2644</t>
  </si>
  <si>
    <t>760-10-1459</t>
  </si>
  <si>
    <t>760-88-1227</t>
  </si>
  <si>
    <t>760-28-4797</t>
  </si>
  <si>
    <t>760-16-2319</t>
  </si>
  <si>
    <t>760-38-4772</t>
  </si>
  <si>
    <t>760-80-1353</t>
  </si>
  <si>
    <t>760-71-1098</t>
  </si>
  <si>
    <t>760-13-3820</t>
  </si>
  <si>
    <t>760-20-9612</t>
  </si>
  <si>
    <t>760-96-1356</t>
  </si>
  <si>
    <t>760-18-3557</t>
  </si>
  <si>
    <t>760-33-6047</t>
  </si>
  <si>
    <t>760-71-6311</t>
  </si>
  <si>
    <t>760-24-2922</t>
  </si>
  <si>
    <t>760-72-8820</t>
  </si>
  <si>
    <t>760-34-8408</t>
  </si>
  <si>
    <t>760-17-5621</t>
  </si>
  <si>
    <t>760-66-1293</t>
  </si>
  <si>
    <t>760-42-2966</t>
  </si>
  <si>
    <t>760-15-5402</t>
  </si>
  <si>
    <t>760-95-8377</t>
  </si>
  <si>
    <t>760-98-7165</t>
  </si>
  <si>
    <t>760-77-4087</t>
  </si>
  <si>
    <t>760-70-1466</t>
  </si>
  <si>
    <t>760-58-5607</t>
  </si>
  <si>
    <t>760-82-1570</t>
  </si>
  <si>
    <t>760-11-1484</t>
  </si>
  <si>
    <t>760-71-1330</t>
  </si>
  <si>
    <t>760-54-2947</t>
  </si>
  <si>
    <t>760-86-5842</t>
  </si>
  <si>
    <t>760-89-4368</t>
  </si>
  <si>
    <t>760-36-3699</t>
  </si>
  <si>
    <t>760-57-9742</t>
  </si>
  <si>
    <t>760-77-8027</t>
  </si>
  <si>
    <t>Mins, Bojko</t>
  </si>
  <si>
    <t>Rinsind, Middlemiss</t>
  </si>
  <si>
    <t>Unna, Enno</t>
  </si>
  <si>
    <t>Department</t>
  </si>
  <si>
    <t>Operations</t>
  </si>
  <si>
    <t>Marketing</t>
  </si>
  <si>
    <t>Finance</t>
  </si>
  <si>
    <t>Human Resources</t>
  </si>
  <si>
    <t>Right-click values and point to calculation you would like.</t>
  </si>
  <si>
    <t>Porter Cable Compressor</t>
  </si>
  <si>
    <r>
      <t xml:space="preserve">Click in a </t>
    </r>
    <r>
      <rPr>
        <b/>
        <sz val="11"/>
        <color theme="1"/>
        <rFont val="Calibri"/>
        <family val="2"/>
        <scheme val="minor"/>
      </rPr>
      <t>single cell</t>
    </r>
    <r>
      <rPr>
        <sz val="11"/>
        <color theme="1"/>
        <rFont val="Calibri"/>
        <family val="2"/>
        <scheme val="minor"/>
      </rPr>
      <t xml:space="preserve"> and turn Filter on: 1) Right-click, 2) Home Tab, 3) Data Tab</t>
    </r>
  </si>
  <si>
    <t>No blanks columns or rows in data set</t>
  </si>
  <si>
    <t>to use Excel and have not had success, this seminar will help greatly!</t>
  </si>
  <si>
    <t>Hours worked Last Year</t>
  </si>
  <si>
    <t>Key: You can drop many fields into the Values area.</t>
  </si>
  <si>
    <t>Grouping Numbers</t>
  </si>
  <si>
    <t>Count</t>
  </si>
  <si>
    <t>Use "Value Field Settings" dialog box to change name, calculation, Number Formatting</t>
  </si>
  <si>
    <t>100-599</t>
  </si>
  <si>
    <t>600-1099</t>
  </si>
  <si>
    <t>1100-1599</t>
  </si>
  <si>
    <t>1600-2099</t>
  </si>
  <si>
    <t>2100-2599</t>
  </si>
  <si>
    <t>2600-3099</t>
  </si>
  <si>
    <t>3100-3600</t>
  </si>
  <si>
    <t>Count of Hours worked Last Year</t>
  </si>
  <si>
    <t>Key: Right-click Number Field in Row Label and point to group.</t>
  </si>
  <si>
    <t>SUM</t>
  </si>
  <si>
    <t xml:space="preserve"> &lt;&lt;== or ==&gt;&gt;</t>
  </si>
  <si>
    <t>Adds with 1 or more criteria</t>
  </si>
  <si>
    <t>Counts with 1 or more criteria</t>
  </si>
  <si>
    <t>MATCH function tells you what the relative position of an item is in a list</t>
  </si>
  <si>
    <t>ISNUMBER tells you whether a piece of data is a number or not.</t>
  </si>
  <si>
    <t>ISNA tells you whether a piece of data is an #N/A error or not.</t>
  </si>
  <si>
    <t>Is Name in List 2 NOT in List 1?</t>
  </si>
  <si>
    <t>Key: Right-click Number Field in Row Label and point to Group.</t>
  </si>
  <si>
    <t>Goal: Sort Grade within Major</t>
  </si>
  <si>
    <t>COUNTIF</t>
  </si>
  <si>
    <t>Import from CSV file</t>
  </si>
  <si>
    <t xml:space="preserve"> Select Hours Worked Last year then  cntrl+Shift+down arrow</t>
  </si>
  <si>
    <t>and then press f4c key.</t>
  </si>
  <si>
    <t>Keyboard shotcut</t>
  </si>
  <si>
    <t>F11 on new sheet</t>
  </si>
  <si>
    <t>Alt+F1 on exsting sheet</t>
  </si>
  <si>
    <t>Row Labels</t>
  </si>
  <si>
    <t>ISNUMBER(MATCH(C7,$A$7:$A$12,0))</t>
  </si>
  <si>
    <t>ISNA(MATCH(H7,$A$7:$A$12,0))</t>
  </si>
  <si>
    <t>&gt;=3.8</t>
  </si>
  <si>
    <t>&gt;22-05-2012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</si>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</sst>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m/d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rgb="FF000000"/>
      <name val="Arial"/>
      <family val="2"/>
    </font>
    <font>
      <b/>
      <sz val="13"/>
      <color theme="1"/>
      <name val="Calibri"/>
      <family val="2"/>
      <scheme val="minor"/>
    </font>
    <font>
      <b/>
      <sz val="11"/>
      <color rgb="FF002060"/>
      <name val="Arial"/>
      <family val="2"/>
    </font>
    <font>
      <b/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theme="3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4" fillId="7" borderId="10" applyNumberFormat="0" applyAlignment="0" applyProtection="0"/>
    <xf numFmtId="0" fontId="13" fillId="0" borderId="0"/>
  </cellStyleXfs>
  <cellXfs count="47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5" fillId="0" borderId="6" xfId="0" applyFont="1" applyBorder="1"/>
    <xf numFmtId="0" fontId="6" fillId="0" borderId="7" xfId="0" applyFont="1" applyBorder="1"/>
    <xf numFmtId="0" fontId="8" fillId="0" borderId="0" xfId="1"/>
    <xf numFmtId="0" fontId="9" fillId="3" borderId="9" xfId="0" applyFont="1" applyFill="1" applyBorder="1"/>
    <xf numFmtId="0" fontId="10" fillId="3" borderId="9" xfId="0" applyFont="1" applyFill="1" applyBorder="1"/>
    <xf numFmtId="0" fontId="0" fillId="0" borderId="9" xfId="0" applyBorder="1"/>
    <xf numFmtId="0" fontId="1" fillId="0" borderId="9" xfId="0" applyFont="1" applyBorder="1"/>
    <xf numFmtId="0" fontId="0" fillId="0" borderId="9" xfId="0" applyBorder="1" applyAlignment="1">
      <alignment horizontal="left" indent="1"/>
    </xf>
    <xf numFmtId="0" fontId="1" fillId="0" borderId="9" xfId="0" applyFont="1" applyBorder="1" applyAlignment="1">
      <alignment horizontal="left"/>
    </xf>
    <xf numFmtId="0" fontId="8" fillId="0" borderId="9" xfId="1" applyBorder="1"/>
    <xf numFmtId="0" fontId="7" fillId="3" borderId="9" xfId="0" applyFont="1" applyFill="1" applyBorder="1"/>
    <xf numFmtId="14" fontId="0" fillId="0" borderId="9" xfId="0" applyNumberFormat="1" applyBorder="1"/>
    <xf numFmtId="0" fontId="7" fillId="3" borderId="9" xfId="0" applyFont="1" applyFill="1" applyBorder="1" applyAlignment="1">
      <alignment wrapText="1"/>
    </xf>
    <xf numFmtId="0" fontId="0" fillId="4" borderId="9" xfId="0" applyFill="1" applyBorder="1"/>
    <xf numFmtId="0" fontId="1" fillId="5" borderId="9" xfId="0" applyFont="1" applyFill="1" applyBorder="1"/>
    <xf numFmtId="0" fontId="0" fillId="0" borderId="0" xfId="0" pivotButton="1"/>
    <xf numFmtId="0" fontId="11" fillId="0" borderId="0" xfId="0" applyFont="1"/>
    <xf numFmtId="164" fontId="0" fillId="0" borderId="9" xfId="0" applyNumberFormat="1" applyBorder="1"/>
    <xf numFmtId="165" fontId="0" fillId="0" borderId="9" xfId="0" applyNumberFormat="1" applyBorder="1"/>
    <xf numFmtId="165" fontId="0" fillId="5" borderId="9" xfId="0" applyNumberFormat="1" applyFill="1" applyBorder="1"/>
    <xf numFmtId="165" fontId="7" fillId="6" borderId="9" xfId="0" applyNumberFormat="1" applyFont="1" applyFill="1" applyBorder="1"/>
    <xf numFmtId="0" fontId="0" fillId="5" borderId="9" xfId="0" applyFill="1" applyBorder="1"/>
    <xf numFmtId="0" fontId="0" fillId="0" borderId="9" xfId="0" pivotButton="1" applyBorder="1"/>
    <xf numFmtId="0" fontId="0" fillId="0" borderId="0" xfId="0" applyAlignment="1">
      <alignment horizontal="left" indent="1"/>
    </xf>
    <xf numFmtId="0" fontId="7" fillId="6" borderId="9" xfId="0" applyFont="1" applyFill="1" applyBorder="1"/>
    <xf numFmtId="0" fontId="12" fillId="0" borderId="0" xfId="0" applyFont="1"/>
    <xf numFmtId="0" fontId="3" fillId="0" borderId="4" xfId="0" applyFont="1" applyBorder="1"/>
    <xf numFmtId="0" fontId="4" fillId="0" borderId="0" xfId="0" applyFont="1"/>
    <xf numFmtId="0" fontId="14" fillId="7" borderId="10" xfId="2"/>
    <xf numFmtId="0" fontId="15" fillId="3" borderId="10" xfId="2" applyFont="1" applyFill="1"/>
    <xf numFmtId="0" fontId="14" fillId="9" borderId="10" xfId="2" applyFill="1"/>
    <xf numFmtId="0" fontId="14" fillId="8" borderId="10" xfId="2" applyFill="1"/>
    <xf numFmtId="0" fontId="0" fillId="0" borderId="0" xfId="0" applyAlignment="1">
      <alignment horizontal="left"/>
    </xf>
    <xf numFmtId="165" fontId="16" fillId="0" borderId="9" xfId="0" applyNumberFormat="1" applyFont="1" applyBorder="1"/>
    <xf numFmtId="0" fontId="16" fillId="0" borderId="9" xfId="0" applyFont="1" applyBorder="1"/>
    <xf numFmtId="164" fontId="16" fillId="0" borderId="9" xfId="0" applyNumberFormat="1" applyFont="1" applyBorder="1"/>
  </cellXfs>
  <cellStyles count="4">
    <cellStyle name="Hyperlink" xfId="1" builtinId="8"/>
    <cellStyle name="Normal" xfId="0" builtinId="0"/>
    <cellStyle name="Output" xfId="2" builtinId="21"/>
    <cellStyle name="Style 1" xfId="3" xr:uid="{00000000-0005-0000-0000-000003000000}"/>
  </cellStyles>
  <dxfs count="6"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434340</xdr:colOff>
          <xdr:row>0</xdr:row>
          <xdr:rowOff>0</xdr:rowOff>
        </xdr:from>
        <xdr:to>
          <xdr:col>14</xdr:col>
          <xdr:colOff>190500</xdr:colOff>
          <xdr:row>2</xdr:row>
          <xdr:rowOff>7620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0</xdr:row>
      <xdr:rowOff>85725</xdr:rowOff>
    </xdr:from>
    <xdr:to>
      <xdr:col>20</xdr:col>
      <xdr:colOff>238125</xdr:colOff>
      <xdr:row>8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5025" y="85725"/>
          <a:ext cx="5172075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476250</xdr:colOff>
      <xdr:row>0</xdr:row>
      <xdr:rowOff>47625</xdr:rowOff>
    </xdr:from>
    <xdr:to>
      <xdr:col>16</xdr:col>
      <xdr:colOff>342900</xdr:colOff>
      <xdr:row>7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7625"/>
          <a:ext cx="2914650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15</xdr:col>
      <xdr:colOff>600075</xdr:colOff>
      <xdr:row>8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0"/>
          <a:ext cx="3648075" cy="1914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0</xdr:row>
      <xdr:rowOff>0</xdr:rowOff>
    </xdr:from>
    <xdr:to>
      <xdr:col>18</xdr:col>
      <xdr:colOff>419100</xdr:colOff>
      <xdr:row>18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4725" y="0"/>
          <a:ext cx="459105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112058</xdr:colOff>
      <xdr:row>0</xdr:row>
      <xdr:rowOff>78441</xdr:rowOff>
    </xdr:from>
    <xdr:to>
      <xdr:col>16</xdr:col>
      <xdr:colOff>203089</xdr:colOff>
      <xdr:row>13</xdr:row>
      <xdr:rowOff>122248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3882" y="78441"/>
          <a:ext cx="4584589" cy="275563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1199.678202893519" createdVersion="4" refreshedVersion="4" minRefreshableVersion="3" recordCount="10" xr:uid="{00000000-000A-0000-FFFF-FFFF01000000}">
  <cacheSource type="worksheet">
    <worksheetSource ref="A6:D16" sheet="PT(1)"/>
  </cacheSource>
  <cacheFields count="4">
    <cacheField name="Student Name" numFmtId="0">
      <sharedItems/>
    </cacheField>
    <cacheField name="Major" numFmtId="0">
      <sharedItems count="2">
        <s v="Accounting"/>
        <s v="Nursing"/>
      </sharedItems>
    </cacheField>
    <cacheField name="Class" numFmtId="0">
      <sharedItems count="2">
        <s v="Math 101"/>
        <s v="English 101"/>
      </sharedItems>
    </cacheField>
    <cacheField name="Grade" numFmtId="0">
      <sharedItems containsSemiMixedTypes="0" containsString="0" containsNumber="1" minValue="1.6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1199.706654513888" createdVersion="4" refreshedVersion="4" minRefreshableVersion="3" recordCount="60" xr:uid="{00000000-000A-0000-FFFF-FFFF02000000}">
  <cacheSource type="worksheet">
    <worksheetSource ref="A4:D64" sheet="PT(3)"/>
  </cacheSource>
  <cacheFields count="4">
    <cacheField name="ID" numFmtId="0">
      <sharedItems/>
    </cacheField>
    <cacheField name="Employee" numFmtId="0">
      <sharedItems/>
    </cacheField>
    <cacheField name="Department" numFmtId="0">
      <sharedItems count="5">
        <s v="Accounting"/>
        <s v="Operations"/>
        <s v="Marketing"/>
        <s v="Human Resources"/>
        <s v="Finance"/>
      </sharedItems>
    </cacheField>
    <cacheField name="Hours worked Last Year" numFmtId="0">
      <sharedItems containsSemiMixedTypes="0" containsString="0" containsNumber="1" containsInteger="1" minValue="104" maxValue="3531" count="60">
        <n v="3063"/>
        <n v="274"/>
        <n v="1621"/>
        <n v="2034"/>
        <n v="1219"/>
        <n v="1817"/>
        <n v="2998"/>
        <n v="1944"/>
        <n v="1976"/>
        <n v="1396"/>
        <n v="2171"/>
        <n v="2050"/>
        <n v="2739"/>
        <n v="1877"/>
        <n v="2896"/>
        <n v="2298"/>
        <n v="1134"/>
        <n v="1262"/>
        <n v="3489"/>
        <n v="3460"/>
        <n v="1076"/>
        <n v="104"/>
        <n v="180"/>
        <n v="1873"/>
        <n v="2348"/>
        <n v="1370"/>
        <n v="1764"/>
        <n v="3318"/>
        <n v="1725"/>
        <n v="2844"/>
        <n v="2252"/>
        <n v="2898"/>
        <n v="2240"/>
        <n v="297"/>
        <n v="2928"/>
        <n v="2686"/>
        <n v="2160"/>
        <n v="3493"/>
        <n v="2891"/>
        <n v="388"/>
        <n v="264"/>
        <n v="2803"/>
        <n v="472"/>
        <n v="1300"/>
        <n v="3531"/>
        <n v="2001"/>
        <n v="340"/>
        <n v="1884"/>
        <n v="1964"/>
        <n v="1224"/>
        <n v="3222"/>
        <n v="1355"/>
        <n v="2726"/>
        <n v="278"/>
        <n v="2603"/>
        <n v="1463"/>
        <n v="1922"/>
        <n v="1870"/>
        <n v="2617"/>
        <n v="3467"/>
      </sharedItems>
      <fieldGroup base="3">
        <rangePr autoStart="0" autoEnd="0" startNum="100" endNum="3600" groupInterval="500"/>
        <groupItems count="9">
          <s v="&lt;100"/>
          <s v="100-599"/>
          <s v="600-1099"/>
          <s v="1100-1599"/>
          <s v="1600-2099"/>
          <s v="2100-2599"/>
          <s v="2600-3099"/>
          <s v="3100-3600"/>
          <s v="&gt;3600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1199.720521875002" createdVersion="4" refreshedVersion="4" minRefreshableVersion="3" recordCount="60" xr:uid="{00000000-000A-0000-FFFF-FFFF03000000}">
  <cacheSource type="worksheet">
    <worksheetSource ref="A4:D64" sheet="C(1)"/>
  </cacheSource>
  <cacheFields count="4">
    <cacheField name="ID" numFmtId="0">
      <sharedItems/>
    </cacheField>
    <cacheField name="Employee" numFmtId="0">
      <sharedItems/>
    </cacheField>
    <cacheField name="Department" numFmtId="0">
      <sharedItems count="5">
        <s v="Accounting"/>
        <s v="Operations"/>
        <s v="Marketing"/>
        <s v="Human Resources"/>
        <s v="Finance"/>
      </sharedItems>
    </cacheField>
    <cacheField name="Hours worked Last Year" numFmtId="0">
      <sharedItems containsSemiMixedTypes="0" containsString="0" containsNumber="1" containsInteger="1" minValue="104" maxValue="3531" count="60">
        <n v="3063"/>
        <n v="274"/>
        <n v="1621"/>
        <n v="2034"/>
        <n v="1219"/>
        <n v="1817"/>
        <n v="2998"/>
        <n v="1944"/>
        <n v="1976"/>
        <n v="1396"/>
        <n v="2171"/>
        <n v="2050"/>
        <n v="2739"/>
        <n v="1877"/>
        <n v="2896"/>
        <n v="2298"/>
        <n v="1134"/>
        <n v="1262"/>
        <n v="3489"/>
        <n v="3460"/>
        <n v="1076"/>
        <n v="104"/>
        <n v="180"/>
        <n v="1873"/>
        <n v="2348"/>
        <n v="1370"/>
        <n v="1764"/>
        <n v="3318"/>
        <n v="1725"/>
        <n v="2844"/>
        <n v="2252"/>
        <n v="2898"/>
        <n v="2240"/>
        <n v="297"/>
        <n v="2928"/>
        <n v="2686"/>
        <n v="2160"/>
        <n v="3493"/>
        <n v="2891"/>
        <n v="388"/>
        <n v="264"/>
        <n v="2803"/>
        <n v="472"/>
        <n v="1300"/>
        <n v="3531"/>
        <n v="2001"/>
        <n v="340"/>
        <n v="1884"/>
        <n v="1964"/>
        <n v="1224"/>
        <n v="3222"/>
        <n v="1355"/>
        <n v="2726"/>
        <n v="278"/>
        <n v="2603"/>
        <n v="1463"/>
        <n v="1922"/>
        <n v="1870"/>
        <n v="2617"/>
        <n v="3467"/>
      </sharedItems>
      <fieldGroup base="3">
        <rangePr autoStart="0" autoEnd="0" startNum="100" endNum="3600" groupInterval="500"/>
        <groupItems count="9">
          <s v="&lt;100"/>
          <s v="100-599"/>
          <s v="600-1099"/>
          <s v="1100-1599"/>
          <s v="1600-2099"/>
          <s v="2100-2599"/>
          <s v="2600-3099"/>
          <s v="3100-3600"/>
          <s v="&gt;36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W-05" refreshedDate="42334.550921064816" createdVersion="3" refreshedVersion="3" minRefreshableVersion="3" recordCount="60" xr:uid="{00000000-000A-0000-FFFF-FFFF05000000}">
  <cacheSource type="worksheet">
    <worksheetSource ref="A4:D64" sheet="PT(4)"/>
  </cacheSource>
  <cacheFields count="4">
    <cacheField name="ID" numFmtId="0">
      <sharedItems/>
    </cacheField>
    <cacheField name="Employee" numFmtId="0">
      <sharedItems/>
    </cacheField>
    <cacheField name="Department" numFmtId="0">
      <sharedItems/>
    </cacheField>
    <cacheField name="Hours worked Last Year" numFmtId="0">
      <sharedItems containsSemiMixedTypes="0" containsString="0" containsNumber="1" containsInteger="1" minValue="104" maxValue="3531" count="60">
        <n v="3063"/>
        <n v="274"/>
        <n v="1621"/>
        <n v="2034"/>
        <n v="1219"/>
        <n v="1817"/>
        <n v="2998"/>
        <n v="1944"/>
        <n v="1976"/>
        <n v="1396"/>
        <n v="2171"/>
        <n v="2050"/>
        <n v="2739"/>
        <n v="1877"/>
        <n v="2896"/>
        <n v="2298"/>
        <n v="1134"/>
        <n v="1262"/>
        <n v="3489"/>
        <n v="3460"/>
        <n v="1076"/>
        <n v="104"/>
        <n v="180"/>
        <n v="1873"/>
        <n v="2348"/>
        <n v="1370"/>
        <n v="1764"/>
        <n v="3318"/>
        <n v="1725"/>
        <n v="2844"/>
        <n v="2252"/>
        <n v="2898"/>
        <n v="2240"/>
        <n v="297"/>
        <n v="2928"/>
        <n v="2686"/>
        <n v="2160"/>
        <n v="3493"/>
        <n v="2891"/>
        <n v="388"/>
        <n v="264"/>
        <n v="2803"/>
        <n v="472"/>
        <n v="1300"/>
        <n v="3531"/>
        <n v="2001"/>
        <n v="340"/>
        <n v="1884"/>
        <n v="1964"/>
        <n v="1224"/>
        <n v="3222"/>
        <n v="1355"/>
        <n v="2726"/>
        <n v="278"/>
        <n v="2603"/>
        <n v="1463"/>
        <n v="1922"/>
        <n v="1870"/>
        <n v="2617"/>
        <n v="3467"/>
      </sharedItems>
      <fieldGroup base="3">
        <rangePr autoStart="0" autoEnd="0" startNum="100" endNum="3600" groupInterval="500"/>
        <groupItems count="9">
          <s v="&lt;100"/>
          <s v="100-599"/>
          <s v="600-1099"/>
          <s v="1100-1599"/>
          <s v="1600-2099"/>
          <s v="2100-2599"/>
          <s v="2600-3099"/>
          <s v="3100-3600"/>
          <s v="&gt;36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s v="Erinn Kraeger"/>
    <x v="0"/>
    <x v="0"/>
    <n v="3.8"/>
  </r>
  <r>
    <s v="Devorah Passe"/>
    <x v="1"/>
    <x v="1"/>
    <n v="2.7"/>
  </r>
  <r>
    <s v="Tommie Colborn"/>
    <x v="0"/>
    <x v="0"/>
    <n v="2.5"/>
  </r>
  <r>
    <s v="Shirleen Surrey"/>
    <x v="1"/>
    <x v="1"/>
    <n v="3"/>
  </r>
  <r>
    <s v="Devorah Flight"/>
    <x v="0"/>
    <x v="0"/>
    <n v="3.9"/>
  </r>
  <r>
    <s v="Domingo Schoppe"/>
    <x v="0"/>
    <x v="1"/>
    <n v="4"/>
  </r>
  <r>
    <s v="Annett Stefanelli"/>
    <x v="1"/>
    <x v="0"/>
    <n v="3.4"/>
  </r>
  <r>
    <s v="Emilio Lindbeck"/>
    <x v="1"/>
    <x v="1"/>
    <n v="2.5"/>
  </r>
  <r>
    <s v="Waltraud Kolasinski"/>
    <x v="0"/>
    <x v="1"/>
    <n v="2.4"/>
  </r>
  <r>
    <s v="Waltraud Leaper"/>
    <x v="1"/>
    <x v="1"/>
    <n v="1.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">
  <r>
    <s v="760-81-7404"/>
    <s v="Agramonte, Lexie"/>
    <x v="0"/>
    <x v="0"/>
  </r>
  <r>
    <s v="760-37-1006"/>
    <s v="Higashi, Armanda"/>
    <x v="0"/>
    <x v="1"/>
  </r>
  <r>
    <s v="760-57-7436"/>
    <s v="Popoca, Jan"/>
    <x v="1"/>
    <x v="2"/>
  </r>
  <r>
    <s v="760-71-1468"/>
    <s v="Kinnick, Jenice"/>
    <x v="2"/>
    <x v="3"/>
  </r>
  <r>
    <s v="760-89-9336"/>
    <s v="Livesey, Annett"/>
    <x v="1"/>
    <x v="4"/>
  </r>
  <r>
    <s v="760-87-3551"/>
    <s v="Stockfisch, Angelena"/>
    <x v="2"/>
    <x v="5"/>
  </r>
  <r>
    <s v="760-69-3010"/>
    <s v="Baar, Janay"/>
    <x v="1"/>
    <x v="6"/>
  </r>
  <r>
    <s v="760-53-4083"/>
    <s v="Galen, Fae"/>
    <x v="0"/>
    <x v="7"/>
  </r>
  <r>
    <s v="760-68-5496"/>
    <s v="Sayle, Brinda"/>
    <x v="3"/>
    <x v="8"/>
  </r>
  <r>
    <s v="760-52-2536"/>
    <s v="Deppner, Mana"/>
    <x v="3"/>
    <x v="9"/>
  </r>
  <r>
    <s v="760-33-5044"/>
    <s v="Hoesly, Dimple"/>
    <x v="1"/>
    <x v="10"/>
  </r>
  <r>
    <s v="760-24-1698"/>
    <s v="Mins, Bojko"/>
    <x v="3"/>
    <x v="11"/>
  </r>
  <r>
    <s v="760-55-4539"/>
    <s v="Rowson, Ozella"/>
    <x v="3"/>
    <x v="12"/>
  </r>
  <r>
    <s v="760-76-6644"/>
    <s v="Streck, Tommie"/>
    <x v="4"/>
    <x v="13"/>
  </r>
  <r>
    <s v="760-92-9661"/>
    <s v="Stayner, Randal"/>
    <x v="2"/>
    <x v="14"/>
  </r>
  <r>
    <s v="760-53-1356"/>
    <s v="Simley, Boyd"/>
    <x v="0"/>
    <x v="15"/>
  </r>
  <r>
    <s v="760-99-8354"/>
    <s v="Gazzo, Darnell"/>
    <x v="0"/>
    <x v="16"/>
  </r>
  <r>
    <s v="760-56-2995"/>
    <s v="Joens, Dominick"/>
    <x v="1"/>
    <x v="17"/>
  </r>
  <r>
    <s v="760-86-5563"/>
    <s v="Stepler, Santos"/>
    <x v="2"/>
    <x v="18"/>
  </r>
  <r>
    <s v="760-16-9928"/>
    <s v="Kap, Talitha"/>
    <x v="0"/>
    <x v="19"/>
  </r>
  <r>
    <s v="760-43-2368"/>
    <s v="Menna, Roman"/>
    <x v="0"/>
    <x v="20"/>
  </r>
  <r>
    <s v="760-78-7988"/>
    <s v="Barnaba, Aubrey"/>
    <x v="1"/>
    <x v="21"/>
  </r>
  <r>
    <s v="760-85-1970"/>
    <s v="Lumbreras, Tameika"/>
    <x v="4"/>
    <x v="22"/>
  </r>
  <r>
    <s v="760-49-7089"/>
    <s v="Gottwald, Timmy"/>
    <x v="1"/>
    <x v="23"/>
  </r>
  <r>
    <s v="760-98-2848"/>
    <s v="Colgrove, Randal"/>
    <x v="3"/>
    <x v="24"/>
  </r>
  <r>
    <s v="760-26-2644"/>
    <s v="Gervin, Van"/>
    <x v="0"/>
    <x v="25"/>
  </r>
  <r>
    <s v="760-10-1459"/>
    <s v="Guedry, Emanuel"/>
    <x v="3"/>
    <x v="26"/>
  </r>
  <r>
    <s v="760-88-1227"/>
    <s v="Knaff, Santos"/>
    <x v="0"/>
    <x v="27"/>
  </r>
  <r>
    <s v="760-28-4797"/>
    <s v="Therien, Cary"/>
    <x v="1"/>
    <x v="28"/>
  </r>
  <r>
    <s v="760-16-2319"/>
    <s v="Norena, Emanuel"/>
    <x v="2"/>
    <x v="29"/>
  </r>
  <r>
    <s v="760-38-4772"/>
    <s v="Staniszewski, Isidra"/>
    <x v="4"/>
    <x v="30"/>
  </r>
  <r>
    <s v="760-80-1353"/>
    <s v="Chirinos, Waltraud"/>
    <x v="4"/>
    <x v="31"/>
  </r>
  <r>
    <s v="760-71-1098"/>
    <s v="Shown, Winston"/>
    <x v="3"/>
    <x v="32"/>
  </r>
  <r>
    <s v="760-13-3820"/>
    <s v="Tooks, Emmett"/>
    <x v="1"/>
    <x v="33"/>
  </r>
  <r>
    <s v="760-20-9612"/>
    <s v="Alcorta, Boyd"/>
    <x v="2"/>
    <x v="34"/>
  </r>
  <r>
    <s v="760-96-1356"/>
    <s v="Niedermeyer, Mika"/>
    <x v="2"/>
    <x v="35"/>
  </r>
  <r>
    <s v="760-18-3557"/>
    <s v="Busher, Jacquiline"/>
    <x v="4"/>
    <x v="36"/>
  </r>
  <r>
    <s v="760-33-6047"/>
    <s v="Okoro, Elois"/>
    <x v="0"/>
    <x v="37"/>
  </r>
  <r>
    <s v="760-71-6311"/>
    <s v="Stensrud, Erinn"/>
    <x v="1"/>
    <x v="38"/>
  </r>
  <r>
    <s v="760-24-2922"/>
    <s v="Unna, Enno"/>
    <x v="2"/>
    <x v="39"/>
  </r>
  <r>
    <s v="760-72-8820"/>
    <s v="Ewings, Domingo"/>
    <x v="3"/>
    <x v="40"/>
  </r>
  <r>
    <s v="760-34-8408"/>
    <s v="Dyas, Jenice"/>
    <x v="0"/>
    <x v="41"/>
  </r>
  <r>
    <s v="760-17-5621"/>
    <s v="Rinsind, Middlemiss"/>
    <x v="1"/>
    <x v="42"/>
  </r>
  <r>
    <s v="760-66-1293"/>
    <s v="Mondesir, Roman"/>
    <x v="4"/>
    <x v="43"/>
  </r>
  <r>
    <s v="760-42-2966"/>
    <s v="Sherley, Aubrey"/>
    <x v="3"/>
    <x v="44"/>
  </r>
  <r>
    <s v="760-15-5402"/>
    <s v="Hackford, Abel"/>
    <x v="2"/>
    <x v="45"/>
  </r>
  <r>
    <s v="760-95-8377"/>
    <s v="Schriner, Darnell"/>
    <x v="4"/>
    <x v="46"/>
  </r>
  <r>
    <s v="760-98-7165"/>
    <s v="Hermandez, Isidra"/>
    <x v="2"/>
    <x v="47"/>
  </r>
  <r>
    <s v="760-77-4087"/>
    <s v="Eisermann, Dominick"/>
    <x v="3"/>
    <x v="48"/>
  </r>
  <r>
    <s v="760-70-1466"/>
    <s v="Mckinzey, Brendan"/>
    <x v="4"/>
    <x v="49"/>
  </r>
  <r>
    <s v="760-58-5607"/>
    <s v="Dahman, Darnell"/>
    <x v="3"/>
    <x v="50"/>
  </r>
  <r>
    <s v="760-82-1570"/>
    <s v="Zmolek, Tequila"/>
    <x v="3"/>
    <x v="51"/>
  </r>
  <r>
    <s v="760-11-1484"/>
    <s v="Cabbagestalk, Cary"/>
    <x v="3"/>
    <x v="52"/>
  </r>
  <r>
    <s v="760-71-1330"/>
    <s v="Manda, Francoise"/>
    <x v="0"/>
    <x v="53"/>
  </r>
  <r>
    <s v="760-54-2947"/>
    <s v="Constanza, Echo"/>
    <x v="3"/>
    <x v="54"/>
  </r>
  <r>
    <s v="760-86-5842"/>
    <s v="Ludemann, Emanuel"/>
    <x v="1"/>
    <x v="55"/>
  </r>
  <r>
    <s v="760-89-4368"/>
    <s v="Killman, Emmett"/>
    <x v="0"/>
    <x v="56"/>
  </r>
  <r>
    <s v="760-36-3699"/>
    <s v="Onell, Aubrey"/>
    <x v="4"/>
    <x v="57"/>
  </r>
  <r>
    <s v="760-57-9742"/>
    <s v="Wilfred, Courtney"/>
    <x v="2"/>
    <x v="58"/>
  </r>
  <r>
    <s v="760-77-8027"/>
    <s v="Stonum, Elijah"/>
    <x v="2"/>
    <x v="5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0">
  <r>
    <s v="760-81-7404"/>
    <s v="Agramonte, Lexie"/>
    <x v="0"/>
    <x v="0"/>
  </r>
  <r>
    <s v="760-37-1006"/>
    <s v="Higashi, Armanda"/>
    <x v="0"/>
    <x v="1"/>
  </r>
  <r>
    <s v="760-57-7436"/>
    <s v="Popoca, Jan"/>
    <x v="1"/>
    <x v="2"/>
  </r>
  <r>
    <s v="760-71-1468"/>
    <s v="Kinnick, Jenice"/>
    <x v="2"/>
    <x v="3"/>
  </r>
  <r>
    <s v="760-89-9336"/>
    <s v="Livesey, Annett"/>
    <x v="1"/>
    <x v="4"/>
  </r>
  <r>
    <s v="760-87-3551"/>
    <s v="Stockfisch, Angelena"/>
    <x v="2"/>
    <x v="5"/>
  </r>
  <r>
    <s v="760-69-3010"/>
    <s v="Baar, Janay"/>
    <x v="1"/>
    <x v="6"/>
  </r>
  <r>
    <s v="760-53-4083"/>
    <s v="Galen, Fae"/>
    <x v="0"/>
    <x v="7"/>
  </r>
  <r>
    <s v="760-68-5496"/>
    <s v="Sayle, Brinda"/>
    <x v="3"/>
    <x v="8"/>
  </r>
  <r>
    <s v="760-52-2536"/>
    <s v="Deppner, Mana"/>
    <x v="3"/>
    <x v="9"/>
  </r>
  <r>
    <s v="760-33-5044"/>
    <s v="Hoesly, Dimple"/>
    <x v="1"/>
    <x v="10"/>
  </r>
  <r>
    <s v="760-24-1698"/>
    <s v="Mins, Bojko"/>
    <x v="3"/>
    <x v="11"/>
  </r>
  <r>
    <s v="760-55-4539"/>
    <s v="Rowson, Ozella"/>
    <x v="3"/>
    <x v="12"/>
  </r>
  <r>
    <s v="760-76-6644"/>
    <s v="Streck, Tommie"/>
    <x v="4"/>
    <x v="13"/>
  </r>
  <r>
    <s v="760-92-9661"/>
    <s v="Stayner, Randal"/>
    <x v="2"/>
    <x v="14"/>
  </r>
  <r>
    <s v="760-53-1356"/>
    <s v="Simley, Boyd"/>
    <x v="0"/>
    <x v="15"/>
  </r>
  <r>
    <s v="760-99-8354"/>
    <s v="Gazzo, Darnell"/>
    <x v="0"/>
    <x v="16"/>
  </r>
  <r>
    <s v="760-56-2995"/>
    <s v="Joens, Dominick"/>
    <x v="1"/>
    <x v="17"/>
  </r>
  <r>
    <s v="760-86-5563"/>
    <s v="Stepler, Santos"/>
    <x v="2"/>
    <x v="18"/>
  </r>
  <r>
    <s v="760-16-9928"/>
    <s v="Kap, Talitha"/>
    <x v="0"/>
    <x v="19"/>
  </r>
  <r>
    <s v="760-43-2368"/>
    <s v="Menna, Roman"/>
    <x v="0"/>
    <x v="20"/>
  </r>
  <r>
    <s v="760-78-7988"/>
    <s v="Barnaba, Aubrey"/>
    <x v="1"/>
    <x v="21"/>
  </r>
  <r>
    <s v="760-85-1970"/>
    <s v="Lumbreras, Tameika"/>
    <x v="4"/>
    <x v="22"/>
  </r>
  <r>
    <s v="760-49-7089"/>
    <s v="Gottwald, Timmy"/>
    <x v="1"/>
    <x v="23"/>
  </r>
  <r>
    <s v="760-98-2848"/>
    <s v="Colgrove, Randal"/>
    <x v="3"/>
    <x v="24"/>
  </r>
  <r>
    <s v="760-26-2644"/>
    <s v="Gervin, Van"/>
    <x v="0"/>
    <x v="25"/>
  </r>
  <r>
    <s v="760-10-1459"/>
    <s v="Guedry, Emanuel"/>
    <x v="3"/>
    <x v="26"/>
  </r>
  <r>
    <s v="760-88-1227"/>
    <s v="Knaff, Santos"/>
    <x v="0"/>
    <x v="27"/>
  </r>
  <r>
    <s v="760-28-4797"/>
    <s v="Therien, Cary"/>
    <x v="1"/>
    <x v="28"/>
  </r>
  <r>
    <s v="760-16-2319"/>
    <s v="Norena, Emanuel"/>
    <x v="2"/>
    <x v="29"/>
  </r>
  <r>
    <s v="760-38-4772"/>
    <s v="Staniszewski, Isidra"/>
    <x v="4"/>
    <x v="30"/>
  </r>
  <r>
    <s v="760-80-1353"/>
    <s v="Chirinos, Waltraud"/>
    <x v="4"/>
    <x v="31"/>
  </r>
  <r>
    <s v="760-71-1098"/>
    <s v="Shown, Winston"/>
    <x v="3"/>
    <x v="32"/>
  </r>
  <r>
    <s v="760-13-3820"/>
    <s v="Tooks, Emmett"/>
    <x v="1"/>
    <x v="33"/>
  </r>
  <r>
    <s v="760-20-9612"/>
    <s v="Alcorta, Boyd"/>
    <x v="2"/>
    <x v="34"/>
  </r>
  <r>
    <s v="760-96-1356"/>
    <s v="Niedermeyer, Mika"/>
    <x v="2"/>
    <x v="35"/>
  </r>
  <r>
    <s v="760-18-3557"/>
    <s v="Busher, Jacquiline"/>
    <x v="4"/>
    <x v="36"/>
  </r>
  <r>
    <s v="760-33-6047"/>
    <s v="Okoro, Elois"/>
    <x v="0"/>
    <x v="37"/>
  </r>
  <r>
    <s v="760-71-6311"/>
    <s v="Stensrud, Erinn"/>
    <x v="1"/>
    <x v="38"/>
  </r>
  <r>
    <s v="760-24-2922"/>
    <s v="Unna, Enno"/>
    <x v="2"/>
    <x v="39"/>
  </r>
  <r>
    <s v="760-72-8820"/>
    <s v="Ewings, Domingo"/>
    <x v="3"/>
    <x v="40"/>
  </r>
  <r>
    <s v="760-34-8408"/>
    <s v="Dyas, Jenice"/>
    <x v="0"/>
    <x v="41"/>
  </r>
  <r>
    <s v="760-17-5621"/>
    <s v="Rinsind, Middlemiss"/>
    <x v="1"/>
    <x v="42"/>
  </r>
  <r>
    <s v="760-66-1293"/>
    <s v="Mondesir, Roman"/>
    <x v="4"/>
    <x v="43"/>
  </r>
  <r>
    <s v="760-42-2966"/>
    <s v="Sherley, Aubrey"/>
    <x v="3"/>
    <x v="44"/>
  </r>
  <r>
    <s v="760-15-5402"/>
    <s v="Hackford, Abel"/>
    <x v="2"/>
    <x v="45"/>
  </r>
  <r>
    <s v="760-95-8377"/>
    <s v="Schriner, Darnell"/>
    <x v="4"/>
    <x v="46"/>
  </r>
  <r>
    <s v="760-98-7165"/>
    <s v="Hermandez, Isidra"/>
    <x v="2"/>
    <x v="47"/>
  </r>
  <r>
    <s v="760-77-4087"/>
    <s v="Eisermann, Dominick"/>
    <x v="3"/>
    <x v="48"/>
  </r>
  <r>
    <s v="760-70-1466"/>
    <s v="Mckinzey, Brendan"/>
    <x v="4"/>
    <x v="49"/>
  </r>
  <r>
    <s v="760-58-5607"/>
    <s v="Dahman, Darnell"/>
    <x v="3"/>
    <x v="50"/>
  </r>
  <r>
    <s v="760-82-1570"/>
    <s v="Zmolek, Tequila"/>
    <x v="3"/>
    <x v="51"/>
  </r>
  <r>
    <s v="760-11-1484"/>
    <s v="Cabbagestalk, Cary"/>
    <x v="3"/>
    <x v="52"/>
  </r>
  <r>
    <s v="760-71-1330"/>
    <s v="Manda, Francoise"/>
    <x v="0"/>
    <x v="53"/>
  </r>
  <r>
    <s v="760-54-2947"/>
    <s v="Constanza, Echo"/>
    <x v="3"/>
    <x v="54"/>
  </r>
  <r>
    <s v="760-86-5842"/>
    <s v="Ludemann, Emanuel"/>
    <x v="1"/>
    <x v="55"/>
  </r>
  <r>
    <s v="760-89-4368"/>
    <s v="Killman, Emmett"/>
    <x v="0"/>
    <x v="56"/>
  </r>
  <r>
    <s v="760-36-3699"/>
    <s v="Onell, Aubrey"/>
    <x v="4"/>
    <x v="57"/>
  </r>
  <r>
    <s v="760-57-9742"/>
    <s v="Wilfred, Courtney"/>
    <x v="2"/>
    <x v="58"/>
  </r>
  <r>
    <s v="760-77-8027"/>
    <s v="Stonum, Elijah"/>
    <x v="2"/>
    <x v="5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0">
  <r>
    <s v="760-81-7404"/>
    <s v="Agramonte, Lexie"/>
    <s v="Accounting"/>
    <x v="0"/>
  </r>
  <r>
    <s v="760-37-1006"/>
    <s v="Higashi, Armanda"/>
    <s v="Accounting"/>
    <x v="1"/>
  </r>
  <r>
    <s v="760-57-7436"/>
    <s v="Popoca, Jan"/>
    <s v="Operations"/>
    <x v="2"/>
  </r>
  <r>
    <s v="760-71-1468"/>
    <s v="Kinnick, Jenice"/>
    <s v="Marketing"/>
    <x v="3"/>
  </r>
  <r>
    <s v="760-89-9336"/>
    <s v="Livesey, Annett"/>
    <s v="Operations"/>
    <x v="4"/>
  </r>
  <r>
    <s v="760-87-3551"/>
    <s v="Stockfisch, Angelena"/>
    <s v="Marketing"/>
    <x v="5"/>
  </r>
  <r>
    <s v="760-69-3010"/>
    <s v="Baar, Janay"/>
    <s v="Operations"/>
    <x v="6"/>
  </r>
  <r>
    <s v="760-53-4083"/>
    <s v="Galen, Fae"/>
    <s v="Accounting"/>
    <x v="7"/>
  </r>
  <r>
    <s v="760-68-5496"/>
    <s v="Sayle, Brinda"/>
    <s v="Human Resources"/>
    <x v="8"/>
  </r>
  <r>
    <s v="760-52-2536"/>
    <s v="Deppner, Mana"/>
    <s v="Human Resources"/>
    <x v="9"/>
  </r>
  <r>
    <s v="760-33-5044"/>
    <s v="Hoesly, Dimple"/>
    <s v="Operations"/>
    <x v="10"/>
  </r>
  <r>
    <s v="760-24-1698"/>
    <s v="Mins, Bojko"/>
    <s v="Human Resources"/>
    <x v="11"/>
  </r>
  <r>
    <s v="760-55-4539"/>
    <s v="Rowson, Ozella"/>
    <s v="Human Resources"/>
    <x v="12"/>
  </r>
  <r>
    <s v="760-76-6644"/>
    <s v="Streck, Tommie"/>
    <s v="Finance"/>
    <x v="13"/>
  </r>
  <r>
    <s v="760-92-9661"/>
    <s v="Stayner, Randal"/>
    <s v="Marketing"/>
    <x v="14"/>
  </r>
  <r>
    <s v="760-53-1356"/>
    <s v="Simley, Boyd"/>
    <s v="Accounting"/>
    <x v="15"/>
  </r>
  <r>
    <s v="760-99-8354"/>
    <s v="Gazzo, Darnell"/>
    <s v="Accounting"/>
    <x v="16"/>
  </r>
  <r>
    <s v="760-56-2995"/>
    <s v="Joens, Dominick"/>
    <s v="Operations"/>
    <x v="17"/>
  </r>
  <r>
    <s v="760-86-5563"/>
    <s v="Stepler, Santos"/>
    <s v="Marketing"/>
    <x v="18"/>
  </r>
  <r>
    <s v="760-16-9928"/>
    <s v="Kap, Talitha"/>
    <s v="Accounting"/>
    <x v="19"/>
  </r>
  <r>
    <s v="760-43-2368"/>
    <s v="Menna, Roman"/>
    <s v="Accounting"/>
    <x v="20"/>
  </r>
  <r>
    <s v="760-78-7988"/>
    <s v="Barnaba, Aubrey"/>
    <s v="Operations"/>
    <x v="21"/>
  </r>
  <r>
    <s v="760-85-1970"/>
    <s v="Lumbreras, Tameika"/>
    <s v="Finance"/>
    <x v="22"/>
  </r>
  <r>
    <s v="760-49-7089"/>
    <s v="Gottwald, Timmy"/>
    <s v="Operations"/>
    <x v="23"/>
  </r>
  <r>
    <s v="760-98-2848"/>
    <s v="Colgrove, Randal"/>
    <s v="Human Resources"/>
    <x v="24"/>
  </r>
  <r>
    <s v="760-26-2644"/>
    <s v="Gervin, Van"/>
    <s v="Accounting"/>
    <x v="25"/>
  </r>
  <r>
    <s v="760-10-1459"/>
    <s v="Guedry, Emanuel"/>
    <s v="Human Resources"/>
    <x v="26"/>
  </r>
  <r>
    <s v="760-88-1227"/>
    <s v="Knaff, Santos"/>
    <s v="Accounting"/>
    <x v="27"/>
  </r>
  <r>
    <s v="760-28-4797"/>
    <s v="Therien, Cary"/>
    <s v="Operations"/>
    <x v="28"/>
  </r>
  <r>
    <s v="760-16-2319"/>
    <s v="Norena, Emanuel"/>
    <s v="Marketing"/>
    <x v="29"/>
  </r>
  <r>
    <s v="760-38-4772"/>
    <s v="Staniszewski, Isidra"/>
    <s v="Finance"/>
    <x v="30"/>
  </r>
  <r>
    <s v="760-80-1353"/>
    <s v="Chirinos, Waltraud"/>
    <s v="Finance"/>
    <x v="31"/>
  </r>
  <r>
    <s v="760-71-1098"/>
    <s v="Shown, Winston"/>
    <s v="Human Resources"/>
    <x v="32"/>
  </r>
  <r>
    <s v="760-13-3820"/>
    <s v="Tooks, Emmett"/>
    <s v="Operations"/>
    <x v="33"/>
  </r>
  <r>
    <s v="760-20-9612"/>
    <s v="Alcorta, Boyd"/>
    <s v="Marketing"/>
    <x v="34"/>
  </r>
  <r>
    <s v="760-96-1356"/>
    <s v="Niedermeyer, Mika"/>
    <s v="Marketing"/>
    <x v="35"/>
  </r>
  <r>
    <s v="760-18-3557"/>
    <s v="Busher, Jacquiline"/>
    <s v="Finance"/>
    <x v="36"/>
  </r>
  <r>
    <s v="760-33-6047"/>
    <s v="Okoro, Elois"/>
    <s v="Accounting"/>
    <x v="37"/>
  </r>
  <r>
    <s v="760-71-6311"/>
    <s v="Stensrud, Erinn"/>
    <s v="Operations"/>
    <x v="38"/>
  </r>
  <r>
    <s v="760-24-2922"/>
    <s v="Unna, Enno"/>
    <s v="Marketing"/>
    <x v="39"/>
  </r>
  <r>
    <s v="760-72-8820"/>
    <s v="Ewings, Domingo"/>
    <s v="Human Resources"/>
    <x v="40"/>
  </r>
  <r>
    <s v="760-34-8408"/>
    <s v="Dyas, Jenice"/>
    <s v="Accounting"/>
    <x v="41"/>
  </r>
  <r>
    <s v="760-17-5621"/>
    <s v="Rinsind, Middlemiss"/>
    <s v="Operations"/>
    <x v="42"/>
  </r>
  <r>
    <s v="760-66-1293"/>
    <s v="Mondesir, Roman"/>
    <s v="Finance"/>
    <x v="43"/>
  </r>
  <r>
    <s v="760-42-2966"/>
    <s v="Sherley, Aubrey"/>
    <s v="Human Resources"/>
    <x v="44"/>
  </r>
  <r>
    <s v="760-15-5402"/>
    <s v="Hackford, Abel"/>
    <s v="Marketing"/>
    <x v="45"/>
  </r>
  <r>
    <s v="760-95-8377"/>
    <s v="Schriner, Darnell"/>
    <s v="Finance"/>
    <x v="46"/>
  </r>
  <r>
    <s v="760-98-7165"/>
    <s v="Hermandez, Isidra"/>
    <s v="Marketing"/>
    <x v="47"/>
  </r>
  <r>
    <s v="760-77-4087"/>
    <s v="Eisermann, Dominick"/>
    <s v="Human Resources"/>
    <x v="48"/>
  </r>
  <r>
    <s v="760-70-1466"/>
    <s v="Mckinzey, Brendan"/>
    <s v="Finance"/>
    <x v="49"/>
  </r>
  <r>
    <s v="760-58-5607"/>
    <s v="Dahman, Darnell"/>
    <s v="Human Resources"/>
    <x v="50"/>
  </r>
  <r>
    <s v="760-82-1570"/>
    <s v="Zmolek, Tequila"/>
    <s v="Human Resources"/>
    <x v="51"/>
  </r>
  <r>
    <s v="760-11-1484"/>
    <s v="Cabbagestalk, Cary"/>
    <s v="Human Resources"/>
    <x v="52"/>
  </r>
  <r>
    <s v="760-71-1330"/>
    <s v="Manda, Francoise"/>
    <s v="Accounting"/>
    <x v="53"/>
  </r>
  <r>
    <s v="760-54-2947"/>
    <s v="Constanza, Echo"/>
    <s v="Human Resources"/>
    <x v="54"/>
  </r>
  <r>
    <s v="760-86-5842"/>
    <s v="Ludemann, Emanuel"/>
    <s v="Operations"/>
    <x v="55"/>
  </r>
  <r>
    <s v="760-89-4368"/>
    <s v="Killman, Emmett"/>
    <s v="Accounting"/>
    <x v="56"/>
  </r>
  <r>
    <s v="760-36-3699"/>
    <s v="Onell, Aubrey"/>
    <s v="Finance"/>
    <x v="57"/>
  </r>
  <r>
    <s v="760-57-9742"/>
    <s v="Wilfred, Courtney"/>
    <s v="Marketing"/>
    <x v="58"/>
  </r>
  <r>
    <s v="760-77-8027"/>
    <s v="Stonum, Elijah"/>
    <s v="Marketing"/>
    <x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F6:H9" firstHeaderRow="1" firstDataRow="2" firstDataCol="1"/>
  <pivotFields count="4">
    <pivotField compact="0" outline="0" showAll="0"/>
    <pivotField axis="axisRow" compact="0" outline="0" showAll="0">
      <items count="3">
        <item x="0"/>
        <item x="1"/>
        <item t="default"/>
      </items>
    </pivotField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2">
    <i>
      <x/>
    </i>
    <i>
      <x v="1"/>
    </i>
  </rowItems>
  <colFields count="1">
    <field x="2"/>
  </colFields>
  <colItems count="2">
    <i>
      <x/>
    </i>
    <i>
      <x v="1"/>
    </i>
  </colItems>
  <dataFields count="1">
    <dataField name="Average of Grade" fld="3" subtotal="average" baseField="1" baseItem="0"/>
  </dataFields>
  <formats count="4">
    <format dxfId="3">
      <pivotArea type="all" dataOnly="0" outline="0" fieldPosition="0"/>
    </format>
    <format dxfId="2">
      <pivotArea outline="0" collapsedLevelsAreSubtotals="1" fieldPosition="0">
        <references count="2">
          <reference field="1" count="1" selected="0">
            <x v="1"/>
          </reference>
          <reference field="2" count="1" selected="0">
            <x v="0"/>
          </reference>
        </references>
      </pivotArea>
    </format>
    <format dxfId="1">
      <pivotArea outline="0" collapsedLevelsAreSubtotals="1" fieldPosition="0">
        <references count="2">
          <reference field="1" count="1" selected="0">
            <x v="0"/>
          </reference>
          <reference field="2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1" count="1" selected="0">
            <x v="0"/>
          </reference>
          <reference field="2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3" cacheId="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F12:G20" firstHeaderRow="1" firstDataRow="1" firstDataCol="1"/>
  <pivotFields count="4">
    <pivotField showAll="0"/>
    <pivotField showAll="0"/>
    <pivotField showAll="0"/>
    <pivotField axis="axisRow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3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Hours worked Last Year" fld="3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F4:G12" firstHeaderRow="1" firstDataRow="1" firstDataCol="1"/>
  <pivotFields count="4">
    <pivotField compact="0" outline="0" showAll="0"/>
    <pivotField compact="0" outline="0" showAll="0"/>
    <pivotField compact="0" outline="0" showAll="0">
      <items count="6">
        <item h="1" x="0"/>
        <item x="4"/>
        <item h="1" x="3"/>
        <item h="1" x="2"/>
        <item h="1" x="1"/>
        <item t="default"/>
      </items>
    </pivotField>
    <pivotField axis="axisRow" dataField="1" compact="0" outline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3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Hours worked Last Year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6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hartFormat="2">
  <location ref="F4:G12" firstHeaderRow="1" firstDataRow="1" firstDataCol="1"/>
  <pivotFields count="4">
    <pivotField compact="0" outline="0" showAll="0"/>
    <pivotField compact="0" outline="0" showAll="0"/>
    <pivotField compact="0" outline="0" showAll="0">
      <items count="6">
        <item x="0"/>
        <item x="4"/>
        <item x="3"/>
        <item x="2"/>
        <item x="1"/>
        <item t="default"/>
      </items>
    </pivotField>
    <pivotField axis="axisRow" dataField="1" compact="0" outline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3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Hours worked Last Year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E43"/>
  <sheetViews>
    <sheetView zoomScale="145" zoomScaleNormal="145" workbookViewId="0">
      <selection activeCell="E18" sqref="E18"/>
    </sheetView>
  </sheetViews>
  <sheetFormatPr defaultRowHeight="14.4" x14ac:dyDescent="0.3"/>
  <cols>
    <col min="1" max="2" width="35.33203125" bestFit="1" customWidth="1"/>
    <col min="3" max="3" width="16.88671875" customWidth="1"/>
    <col min="4" max="8" width="12.5546875" customWidth="1"/>
  </cols>
  <sheetData>
    <row r="1" spans="1:5" ht="21" x14ac:dyDescent="0.4">
      <c r="A1" s="36"/>
    </row>
    <row r="2" spans="1:5" ht="17.399999999999999" x14ac:dyDescent="0.35">
      <c r="A2" s="37" t="s">
        <v>0</v>
      </c>
      <c r="B2" s="38"/>
      <c r="C2" s="38"/>
      <c r="D2" s="38"/>
      <c r="E2" s="38"/>
    </row>
    <row r="3" spans="1:5" hidden="1" x14ac:dyDescent="0.3">
      <c r="A3" s="11" t="s">
        <v>19</v>
      </c>
      <c r="B3" s="12"/>
      <c r="C3" s="12"/>
      <c r="D3" s="12"/>
      <c r="E3" s="12"/>
    </row>
    <row r="4" spans="1:5" hidden="1" x14ac:dyDescent="0.3">
      <c r="A4" s="2" t="s">
        <v>21</v>
      </c>
      <c r="B4" s="3"/>
      <c r="C4" s="3"/>
      <c r="D4" s="3"/>
      <c r="E4" s="4"/>
    </row>
    <row r="5" spans="1:5" hidden="1" x14ac:dyDescent="0.3">
      <c r="A5" s="5" t="s">
        <v>22</v>
      </c>
      <c r="B5" s="6"/>
      <c r="C5" s="6"/>
      <c r="D5" s="6"/>
      <c r="E5" s="7"/>
    </row>
    <row r="6" spans="1:5" hidden="1" x14ac:dyDescent="0.3">
      <c r="A6" s="5" t="s">
        <v>23</v>
      </c>
      <c r="B6" s="6"/>
      <c r="C6" s="6"/>
      <c r="D6" s="6"/>
      <c r="E6" s="7"/>
    </row>
    <row r="7" spans="1:5" hidden="1" x14ac:dyDescent="0.3">
      <c r="A7" s="5" t="s">
        <v>308</v>
      </c>
      <c r="B7" s="6"/>
      <c r="C7" s="6"/>
      <c r="D7" s="6"/>
      <c r="E7" s="7"/>
    </row>
    <row r="8" spans="1:5" hidden="1" x14ac:dyDescent="0.3">
      <c r="A8" s="5" t="s">
        <v>24</v>
      </c>
      <c r="B8" s="6"/>
      <c r="C8" s="6"/>
      <c r="D8" s="6"/>
      <c r="E8" s="7"/>
    </row>
    <row r="9" spans="1:5" hidden="1" x14ac:dyDescent="0.3">
      <c r="A9" s="5" t="s">
        <v>25</v>
      </c>
      <c r="B9" s="6"/>
      <c r="C9" s="6"/>
      <c r="D9" s="6"/>
      <c r="E9" s="7"/>
    </row>
    <row r="10" spans="1:5" hidden="1" x14ac:dyDescent="0.3">
      <c r="A10" s="8" t="s">
        <v>26</v>
      </c>
      <c r="B10" s="9"/>
      <c r="C10" s="9"/>
      <c r="D10" s="9"/>
      <c r="E10" s="10"/>
    </row>
    <row r="12" spans="1:5" ht="21" x14ac:dyDescent="0.4">
      <c r="A12" s="15" t="s">
        <v>20</v>
      </c>
      <c r="B12" s="14" t="s">
        <v>34</v>
      </c>
      <c r="C12" s="14" t="s">
        <v>36</v>
      </c>
    </row>
    <row r="13" spans="1:5" x14ac:dyDescent="0.3">
      <c r="A13" s="17" t="s">
        <v>29</v>
      </c>
      <c r="B13" s="20" t="str">
        <f>IF(C13="","",HYPERLINK("#'"&amp;C13&amp;"'!A1",A13))</f>
        <v>What is Data Analysis?</v>
      </c>
      <c r="C13" s="16" t="s">
        <v>44</v>
      </c>
    </row>
    <row r="14" spans="1:5" x14ac:dyDescent="0.3">
      <c r="A14" s="17" t="s">
        <v>30</v>
      </c>
      <c r="B14" s="20" t="str">
        <f t="shared" ref="B14:B43" si="0">IF(C14="","",HYPERLINK("#'"&amp;C14&amp;"'!A1",A14))</f>
        <v>How Data Must Be Setup</v>
      </c>
      <c r="C14" s="16" t="s">
        <v>45</v>
      </c>
    </row>
    <row r="15" spans="1:5" x14ac:dyDescent="0.3">
      <c r="A15" s="17" t="s">
        <v>5</v>
      </c>
      <c r="B15" s="20" t="str">
        <f t="shared" si="0"/>
        <v/>
      </c>
      <c r="C15" s="16"/>
    </row>
    <row r="16" spans="1:5" x14ac:dyDescent="0.3">
      <c r="A16" s="18" t="s">
        <v>2</v>
      </c>
      <c r="B16" s="20" t="str">
        <f t="shared" si="0"/>
        <v>Sort with 1 criteria</v>
      </c>
      <c r="C16" s="16" t="s">
        <v>46</v>
      </c>
    </row>
    <row r="17" spans="1:3" x14ac:dyDescent="0.3">
      <c r="A17" s="18" t="s">
        <v>3</v>
      </c>
      <c r="B17" s="20" t="str">
        <f t="shared" si="0"/>
        <v>Sort with 2 criteria or more</v>
      </c>
      <c r="C17" s="16" t="s">
        <v>47</v>
      </c>
    </row>
    <row r="18" spans="1:3" x14ac:dyDescent="0.3">
      <c r="A18" s="18" t="s">
        <v>1</v>
      </c>
      <c r="B18" s="20" t="str">
        <f t="shared" si="0"/>
        <v>Sort by color</v>
      </c>
      <c r="C18" s="16" t="s">
        <v>50</v>
      </c>
    </row>
    <row r="19" spans="1:3" x14ac:dyDescent="0.3">
      <c r="A19" s="17" t="s">
        <v>4</v>
      </c>
      <c r="B19" s="20" t="str">
        <f t="shared" si="0"/>
        <v/>
      </c>
      <c r="C19" s="16"/>
    </row>
    <row r="20" spans="1:3" x14ac:dyDescent="0.3">
      <c r="A20" s="18" t="s">
        <v>6</v>
      </c>
      <c r="B20" s="20" t="str">
        <f t="shared" si="0"/>
        <v>Filter with 1 criteria</v>
      </c>
      <c r="C20" s="16" t="s">
        <v>48</v>
      </c>
    </row>
    <row r="21" spans="1:3" x14ac:dyDescent="0.3">
      <c r="A21" s="18" t="s">
        <v>7</v>
      </c>
      <c r="B21" s="20" t="str">
        <f t="shared" si="0"/>
        <v>Filter with 2 criteria or more</v>
      </c>
      <c r="C21" s="16" t="s">
        <v>49</v>
      </c>
    </row>
    <row r="22" spans="1:3" x14ac:dyDescent="0.3">
      <c r="A22" s="18" t="s">
        <v>8</v>
      </c>
      <c r="B22" s="20" t="str">
        <f t="shared" si="0"/>
        <v>Filter by color</v>
      </c>
      <c r="C22" s="16" t="s">
        <v>51</v>
      </c>
    </row>
    <row r="23" spans="1:3" x14ac:dyDescent="0.3">
      <c r="A23" s="18" t="s">
        <v>134</v>
      </c>
      <c r="B23" s="20" t="str">
        <f t="shared" si="0"/>
        <v>Filter Text, Numbers, Dates</v>
      </c>
      <c r="C23" s="16" t="s">
        <v>52</v>
      </c>
    </row>
    <row r="24" spans="1:3" x14ac:dyDescent="0.3">
      <c r="A24" s="18" t="s">
        <v>9</v>
      </c>
      <c r="B24" s="20" t="str">
        <f t="shared" si="0"/>
        <v>Filter by Partial Text</v>
      </c>
      <c r="C24" s="16" t="s">
        <v>53</v>
      </c>
    </row>
    <row r="25" spans="1:3" x14ac:dyDescent="0.3">
      <c r="A25" s="17" t="s">
        <v>10</v>
      </c>
      <c r="B25" s="20" t="str">
        <f t="shared" si="0"/>
        <v/>
      </c>
      <c r="C25" s="16"/>
    </row>
    <row r="26" spans="1:3" x14ac:dyDescent="0.3">
      <c r="A26" s="18" t="s">
        <v>33</v>
      </c>
      <c r="B26" s="20" t="str">
        <f t="shared" si="0"/>
        <v>What is a PivotTable?</v>
      </c>
      <c r="C26" s="16" t="s">
        <v>54</v>
      </c>
    </row>
    <row r="27" spans="1:3" x14ac:dyDescent="0.3">
      <c r="A27" s="18" t="s">
        <v>11</v>
      </c>
      <c r="B27" s="20" t="str">
        <f t="shared" si="0"/>
        <v>Easy 3 step method</v>
      </c>
      <c r="C27" s="16" t="s">
        <v>55</v>
      </c>
    </row>
    <row r="28" spans="1:3" x14ac:dyDescent="0.3">
      <c r="A28" s="18" t="s">
        <v>12</v>
      </c>
      <c r="B28" s="20" t="str">
        <f t="shared" si="0"/>
        <v/>
      </c>
      <c r="C28" s="16"/>
    </row>
    <row r="29" spans="1:3" x14ac:dyDescent="0.3">
      <c r="A29" s="18" t="s">
        <v>27</v>
      </c>
      <c r="B29" s="20" t="str">
        <f t="shared" si="0"/>
        <v/>
      </c>
      <c r="C29" s="16"/>
    </row>
    <row r="30" spans="1:3" x14ac:dyDescent="0.3">
      <c r="A30" s="18" t="s">
        <v>13</v>
      </c>
      <c r="B30" s="20" t="str">
        <f t="shared" si="0"/>
        <v>More than one calculation</v>
      </c>
      <c r="C30" s="16" t="s">
        <v>56</v>
      </c>
    </row>
    <row r="31" spans="1:3" x14ac:dyDescent="0.3">
      <c r="A31" s="18" t="s">
        <v>311</v>
      </c>
      <c r="B31" s="20" t="str">
        <f t="shared" si="0"/>
        <v>Grouping Numbers</v>
      </c>
      <c r="C31" s="16" t="s">
        <v>159</v>
      </c>
    </row>
    <row r="32" spans="1:3" x14ac:dyDescent="0.3">
      <c r="A32" s="18" t="s">
        <v>14</v>
      </c>
      <c r="B32" s="20" t="str">
        <f t="shared" si="0"/>
        <v>Filter in a Pivot Table</v>
      </c>
      <c r="C32" s="16" t="s">
        <v>160</v>
      </c>
    </row>
    <row r="33" spans="1:3" x14ac:dyDescent="0.3">
      <c r="A33" s="18" t="s">
        <v>28</v>
      </c>
      <c r="B33" s="20" t="str">
        <f t="shared" si="0"/>
        <v/>
      </c>
      <c r="C33" s="16"/>
    </row>
    <row r="34" spans="1:3" x14ac:dyDescent="0.3">
      <c r="A34" s="17" t="s">
        <v>15</v>
      </c>
      <c r="B34" s="20" t="str">
        <f>IF(C34="","",HYPERLINK("#'"&amp;C34&amp;"'!A1",A34))</f>
        <v/>
      </c>
      <c r="C34" s="16"/>
    </row>
    <row r="35" spans="1:3" x14ac:dyDescent="0.3">
      <c r="A35" s="18" t="s">
        <v>16</v>
      </c>
      <c r="B35" s="20" t="str">
        <f>IF(C35="","",HYPERLINK("#'"&amp;C35&amp;"'!A1",A35))</f>
        <v>Column Charts from Pivot Tables</v>
      </c>
      <c r="C35" s="16" t="s">
        <v>58</v>
      </c>
    </row>
    <row r="36" spans="1:3" x14ac:dyDescent="0.3">
      <c r="A36" s="19" t="s">
        <v>17</v>
      </c>
      <c r="B36" s="20" t="str">
        <f t="shared" si="0"/>
        <v/>
      </c>
      <c r="C36" s="16"/>
    </row>
    <row r="37" spans="1:3" x14ac:dyDescent="0.3">
      <c r="A37" s="18" t="s">
        <v>32</v>
      </c>
      <c r="B37" s="20" t="str">
        <f t="shared" si="0"/>
        <v>SUMIFS</v>
      </c>
      <c r="C37" s="16" t="s">
        <v>103</v>
      </c>
    </row>
    <row r="38" spans="1:3" x14ac:dyDescent="0.3">
      <c r="A38" s="18" t="s">
        <v>333</v>
      </c>
      <c r="B38" s="20" t="str">
        <f t="shared" si="0"/>
        <v>COUNTIF</v>
      </c>
      <c r="C38" s="16" t="s">
        <v>104</v>
      </c>
    </row>
    <row r="39" spans="1:3" x14ac:dyDescent="0.3">
      <c r="A39" s="18" t="s">
        <v>18</v>
      </c>
      <c r="B39" s="20" t="str">
        <f t="shared" si="0"/>
        <v>Formula to Compare Two Lists</v>
      </c>
      <c r="C39" s="16" t="s">
        <v>105</v>
      </c>
    </row>
    <row r="40" spans="1:3" x14ac:dyDescent="0.3">
      <c r="A40" s="17" t="s">
        <v>31</v>
      </c>
      <c r="B40" s="20" t="str">
        <f t="shared" si="0"/>
        <v>Data Analysis Formula or PivotTables?</v>
      </c>
      <c r="C40" s="16" t="s">
        <v>57</v>
      </c>
    </row>
    <row r="41" spans="1:3" x14ac:dyDescent="0.3">
      <c r="A41" s="17" t="s">
        <v>75</v>
      </c>
      <c r="B41" s="20" t="str">
        <f t="shared" si="0"/>
        <v/>
      </c>
      <c r="C41" s="16"/>
    </row>
    <row r="42" spans="1:3" x14ac:dyDescent="0.3">
      <c r="A42" s="18" t="s">
        <v>334</v>
      </c>
      <c r="B42" s="20" t="str">
        <f t="shared" si="0"/>
        <v>Import from CSV file</v>
      </c>
      <c r="C42" s="16" t="s">
        <v>96</v>
      </c>
    </row>
    <row r="43" spans="1:3" x14ac:dyDescent="0.3">
      <c r="A43" s="18" t="s">
        <v>95</v>
      </c>
      <c r="B43" s="20" t="str">
        <f t="shared" si="0"/>
        <v>Import from Access</v>
      </c>
      <c r="C43" s="16" t="s">
        <v>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H15"/>
  <sheetViews>
    <sheetView zoomScale="130" zoomScaleNormal="130" workbookViewId="0">
      <selection activeCell="D18" sqref="D18"/>
    </sheetView>
  </sheetViews>
  <sheetFormatPr defaultRowHeight="14.4" x14ac:dyDescent="0.3"/>
  <cols>
    <col min="1" max="1" width="6.33203125" bestFit="1" customWidth="1"/>
    <col min="2" max="2" width="18.6640625" bestFit="1" customWidth="1"/>
    <col min="3" max="4" width="14.33203125" customWidth="1"/>
    <col min="6" max="6" width="1.5546875" customWidth="1"/>
    <col min="8" max="8" width="51.77734375" bestFit="1" customWidth="1"/>
  </cols>
  <sheetData>
    <row r="1" spans="1:8" x14ac:dyDescent="0.3">
      <c r="A1" s="13" t="s">
        <v>35</v>
      </c>
    </row>
    <row r="2" spans="1:8" ht="18" x14ac:dyDescent="0.35">
      <c r="A2" s="27" t="str">
        <f ca="1">"Topic: "&amp;INDEX(Topics!$A$12:$A$42,MATCH(REPLACE(CELL("filename",A1),1,SEARCH("]",CELL("filename",A1)),""),Topics!$C$12:$C$42,0))</f>
        <v>Topic: How Data Must Be Setup</v>
      </c>
    </row>
    <row r="4" spans="1:8" x14ac:dyDescent="0.3">
      <c r="G4" s="1" t="s">
        <v>93</v>
      </c>
    </row>
    <row r="5" spans="1:8" x14ac:dyDescent="0.3">
      <c r="B5" s="21" t="s">
        <v>71</v>
      </c>
      <c r="C5" s="21" t="s">
        <v>72</v>
      </c>
      <c r="D5" s="21" t="s">
        <v>73</v>
      </c>
      <c r="E5" s="21" t="s">
        <v>74</v>
      </c>
      <c r="G5">
        <v>1</v>
      </c>
      <c r="H5" t="s">
        <v>94</v>
      </c>
    </row>
    <row r="6" spans="1:8" x14ac:dyDescent="0.3">
      <c r="B6" s="16" t="s">
        <v>92</v>
      </c>
      <c r="C6" s="16" t="s">
        <v>79</v>
      </c>
      <c r="D6" s="16" t="s">
        <v>81</v>
      </c>
      <c r="E6" s="16">
        <v>1.6</v>
      </c>
      <c r="G6">
        <v>2</v>
      </c>
      <c r="H6" t="s">
        <v>98</v>
      </c>
    </row>
    <row r="7" spans="1:8" x14ac:dyDescent="0.3">
      <c r="B7" s="16" t="s">
        <v>91</v>
      </c>
      <c r="C7" s="16" t="s">
        <v>78</v>
      </c>
      <c r="D7" s="16" t="s">
        <v>81</v>
      </c>
      <c r="E7" s="16">
        <v>2.4</v>
      </c>
      <c r="G7">
        <v>3</v>
      </c>
      <c r="H7" t="s">
        <v>99</v>
      </c>
    </row>
    <row r="8" spans="1:8" x14ac:dyDescent="0.3">
      <c r="B8" s="16" t="s">
        <v>90</v>
      </c>
      <c r="C8" s="16" t="s">
        <v>79</v>
      </c>
      <c r="D8" s="16" t="s">
        <v>81</v>
      </c>
      <c r="E8" s="16">
        <v>2.5</v>
      </c>
      <c r="G8">
        <v>4</v>
      </c>
      <c r="H8" t="s">
        <v>307</v>
      </c>
    </row>
    <row r="9" spans="1:8" x14ac:dyDescent="0.3">
      <c r="B9" s="16" t="s">
        <v>84</v>
      </c>
      <c r="C9" s="16" t="s">
        <v>79</v>
      </c>
      <c r="D9" s="16" t="s">
        <v>81</v>
      </c>
      <c r="E9" s="16">
        <v>2.7</v>
      </c>
      <c r="G9">
        <v>5</v>
      </c>
      <c r="H9" t="s">
        <v>100</v>
      </c>
    </row>
    <row r="10" spans="1:8" x14ac:dyDescent="0.3">
      <c r="B10" s="16" t="s">
        <v>86</v>
      </c>
      <c r="C10" s="16" t="s">
        <v>79</v>
      </c>
      <c r="D10" s="16" t="s">
        <v>81</v>
      </c>
      <c r="E10" s="16">
        <v>3</v>
      </c>
      <c r="G10">
        <v>6</v>
      </c>
      <c r="H10" t="s">
        <v>101</v>
      </c>
    </row>
    <row r="11" spans="1:8" x14ac:dyDescent="0.3">
      <c r="B11" s="16" t="s">
        <v>88</v>
      </c>
      <c r="C11" s="16" t="s">
        <v>78</v>
      </c>
      <c r="D11" s="16" t="s">
        <v>81</v>
      </c>
      <c r="E11" s="16">
        <v>4</v>
      </c>
      <c r="H11" t="s">
        <v>102</v>
      </c>
    </row>
    <row r="12" spans="1:8" x14ac:dyDescent="0.3">
      <c r="B12" s="16" t="s">
        <v>85</v>
      </c>
      <c r="C12" s="16" t="s">
        <v>78</v>
      </c>
      <c r="D12" s="16" t="s">
        <v>80</v>
      </c>
      <c r="E12" s="16">
        <v>2.5</v>
      </c>
    </row>
    <row r="13" spans="1:8" x14ac:dyDescent="0.3">
      <c r="B13" s="16" t="s">
        <v>89</v>
      </c>
      <c r="C13" s="16" t="s">
        <v>79</v>
      </c>
      <c r="D13" s="16" t="s">
        <v>80</v>
      </c>
      <c r="E13" s="16">
        <v>3.4</v>
      </c>
    </row>
    <row r="14" spans="1:8" x14ac:dyDescent="0.3">
      <c r="B14" s="16" t="s">
        <v>83</v>
      </c>
      <c r="C14" s="16" t="s">
        <v>78</v>
      </c>
      <c r="D14" s="16" t="s">
        <v>80</v>
      </c>
      <c r="E14" s="16">
        <v>3.8</v>
      </c>
    </row>
    <row r="15" spans="1:8" x14ac:dyDescent="0.3">
      <c r="B15" s="16" t="s">
        <v>87</v>
      </c>
      <c r="C15" s="16" t="s">
        <v>78</v>
      </c>
      <c r="D15" s="16" t="s">
        <v>80</v>
      </c>
      <c r="E15" s="16">
        <v>3.9</v>
      </c>
    </row>
  </sheetData>
  <sortState xmlns:xlrd2="http://schemas.microsoft.com/office/spreadsheetml/2017/richdata2" ref="B6:E15">
    <sortCondition ref="D6:D15"/>
    <sortCondition ref="E6:E15"/>
  </sortState>
  <hyperlinks>
    <hyperlink ref="A1" location="Topics!B11" display="Home" xr:uid="{00000000-0004-0000-02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00FF"/>
  </sheetPr>
  <dimension ref="A1:D12"/>
  <sheetViews>
    <sheetView zoomScale="145" zoomScaleNormal="145" workbookViewId="0"/>
  </sheetViews>
  <sheetFormatPr defaultRowHeight="14.4" x14ac:dyDescent="0.3"/>
  <cols>
    <col min="1" max="1" width="15.109375" customWidth="1"/>
    <col min="2" max="3" width="14.33203125" customWidth="1"/>
  </cols>
  <sheetData>
    <row r="1" spans="1:4" x14ac:dyDescent="0.3">
      <c r="A1" s="13" t="s">
        <v>35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Sort with 1 criteria</v>
      </c>
      <c r="D2" t="s">
        <v>169</v>
      </c>
    </row>
    <row r="4" spans="1:4" x14ac:dyDescent="0.3">
      <c r="A4" s="21" t="s">
        <v>38</v>
      </c>
      <c r="B4" s="21" t="s">
        <v>37</v>
      </c>
      <c r="C4" s="21" t="s">
        <v>39</v>
      </c>
    </row>
    <row r="5" spans="1:4" x14ac:dyDescent="0.3">
      <c r="A5" s="22">
        <v>41199</v>
      </c>
      <c r="B5" s="16" t="s">
        <v>40</v>
      </c>
      <c r="C5" s="16">
        <v>15.5</v>
      </c>
    </row>
    <row r="6" spans="1:4" x14ac:dyDescent="0.3">
      <c r="A6" s="22">
        <v>41199</v>
      </c>
      <c r="B6" s="16" t="s">
        <v>41</v>
      </c>
      <c r="C6" s="16">
        <v>19.600000000000001</v>
      </c>
    </row>
    <row r="7" spans="1:4" x14ac:dyDescent="0.3">
      <c r="A7" s="22">
        <v>41199</v>
      </c>
      <c r="B7" s="16" t="s">
        <v>42</v>
      </c>
      <c r="C7" s="16">
        <v>22</v>
      </c>
    </row>
    <row r="8" spans="1:4" x14ac:dyDescent="0.3">
      <c r="A8" s="22">
        <v>41199</v>
      </c>
      <c r="B8" s="16" t="s">
        <v>43</v>
      </c>
      <c r="C8" s="16">
        <v>18.600000000000001</v>
      </c>
    </row>
    <row r="9" spans="1:4" x14ac:dyDescent="0.3">
      <c r="A9" s="22">
        <v>41198</v>
      </c>
      <c r="B9" s="16" t="s">
        <v>40</v>
      </c>
      <c r="C9" s="16">
        <v>15.3</v>
      </c>
    </row>
    <row r="10" spans="1:4" x14ac:dyDescent="0.3">
      <c r="A10" s="22">
        <v>41197</v>
      </c>
      <c r="B10" s="16" t="s">
        <v>40</v>
      </c>
      <c r="C10" s="16">
        <v>13.2</v>
      </c>
    </row>
    <row r="11" spans="1:4" x14ac:dyDescent="0.3">
      <c r="A11" s="22">
        <v>41197</v>
      </c>
      <c r="B11" s="16" t="s">
        <v>41</v>
      </c>
      <c r="C11" s="16">
        <v>21</v>
      </c>
    </row>
    <row r="12" spans="1:4" x14ac:dyDescent="0.3">
      <c r="A12" s="22">
        <v>41197</v>
      </c>
      <c r="B12" s="16" t="s">
        <v>42</v>
      </c>
      <c r="C12" s="16">
        <v>15.2</v>
      </c>
    </row>
  </sheetData>
  <hyperlinks>
    <hyperlink ref="A1" location="Topics!B11" display="Home" xr:uid="{00000000-0004-0000-03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D18"/>
  <sheetViews>
    <sheetView zoomScale="145" zoomScaleNormal="145" workbookViewId="0">
      <selection activeCell="D7" sqref="D7"/>
    </sheetView>
  </sheetViews>
  <sheetFormatPr defaultRowHeight="14.4" x14ac:dyDescent="0.3"/>
  <cols>
    <col min="1" max="1" width="15.109375" customWidth="1"/>
    <col min="2" max="3" width="14.33203125" customWidth="1"/>
  </cols>
  <sheetData>
    <row r="1" spans="1:4" x14ac:dyDescent="0.3">
      <c r="A1" s="13" t="s">
        <v>35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Sort with 2 criteria or more</v>
      </c>
    </row>
    <row r="3" spans="1:4" x14ac:dyDescent="0.3">
      <c r="D3" t="s">
        <v>106</v>
      </c>
    </row>
    <row r="4" spans="1:4" x14ac:dyDescent="0.3">
      <c r="D4" t="s">
        <v>107</v>
      </c>
    </row>
    <row r="5" spans="1:4" x14ac:dyDescent="0.3">
      <c r="D5" t="s">
        <v>108</v>
      </c>
    </row>
    <row r="6" spans="1:4" x14ac:dyDescent="0.3">
      <c r="D6" s="1" t="s">
        <v>332</v>
      </c>
    </row>
    <row r="8" spans="1:4" x14ac:dyDescent="0.3">
      <c r="A8" s="21" t="s">
        <v>71</v>
      </c>
      <c r="B8" s="21" t="s">
        <v>72</v>
      </c>
      <c r="C8" s="21" t="s">
        <v>73</v>
      </c>
      <c r="D8" s="21" t="s">
        <v>74</v>
      </c>
    </row>
    <row r="9" spans="1:4" x14ac:dyDescent="0.3">
      <c r="A9" s="16" t="s">
        <v>83</v>
      </c>
      <c r="B9" s="16" t="s">
        <v>78</v>
      </c>
      <c r="C9" s="16" t="s">
        <v>80</v>
      </c>
      <c r="D9" s="16">
        <v>3.8</v>
      </c>
    </row>
    <row r="10" spans="1:4" x14ac:dyDescent="0.3">
      <c r="A10" s="16" t="s">
        <v>84</v>
      </c>
      <c r="B10" s="16" t="s">
        <v>79</v>
      </c>
      <c r="C10" s="16" t="s">
        <v>81</v>
      </c>
      <c r="D10" s="16">
        <v>2.7</v>
      </c>
    </row>
    <row r="11" spans="1:4" x14ac:dyDescent="0.3">
      <c r="A11" s="16" t="s">
        <v>85</v>
      </c>
      <c r="B11" s="16" t="s">
        <v>78</v>
      </c>
      <c r="C11" s="16" t="s">
        <v>80</v>
      </c>
      <c r="D11" s="16">
        <v>2.5</v>
      </c>
    </row>
    <row r="12" spans="1:4" x14ac:dyDescent="0.3">
      <c r="A12" s="16" t="s">
        <v>86</v>
      </c>
      <c r="B12" s="16" t="s">
        <v>79</v>
      </c>
      <c r="C12" s="16" t="s">
        <v>81</v>
      </c>
      <c r="D12" s="16">
        <v>3</v>
      </c>
    </row>
    <row r="13" spans="1:4" x14ac:dyDescent="0.3">
      <c r="A13" s="16" t="s">
        <v>87</v>
      </c>
      <c r="B13" s="16" t="s">
        <v>78</v>
      </c>
      <c r="C13" s="16" t="s">
        <v>80</v>
      </c>
      <c r="D13" s="16">
        <v>3.9</v>
      </c>
    </row>
    <row r="14" spans="1:4" x14ac:dyDescent="0.3">
      <c r="A14" s="16" t="s">
        <v>88</v>
      </c>
      <c r="B14" s="16" t="s">
        <v>78</v>
      </c>
      <c r="C14" s="16" t="s">
        <v>81</v>
      </c>
      <c r="D14" s="16">
        <v>4</v>
      </c>
    </row>
    <row r="15" spans="1:4" x14ac:dyDescent="0.3">
      <c r="A15" s="16" t="s">
        <v>89</v>
      </c>
      <c r="B15" s="16" t="s">
        <v>79</v>
      </c>
      <c r="C15" s="16" t="s">
        <v>80</v>
      </c>
      <c r="D15" s="16">
        <v>3.4</v>
      </c>
    </row>
    <row r="16" spans="1:4" x14ac:dyDescent="0.3">
      <c r="A16" s="16" t="s">
        <v>90</v>
      </c>
      <c r="B16" s="16" t="s">
        <v>79</v>
      </c>
      <c r="C16" s="16" t="s">
        <v>81</v>
      </c>
      <c r="D16" s="16">
        <v>2.5</v>
      </c>
    </row>
    <row r="17" spans="1:4" x14ac:dyDescent="0.3">
      <c r="A17" s="16" t="s">
        <v>91</v>
      </c>
      <c r="B17" s="16" t="s">
        <v>78</v>
      </c>
      <c r="C17" s="16" t="s">
        <v>81</v>
      </c>
      <c r="D17" s="16">
        <v>2.4</v>
      </c>
    </row>
    <row r="18" spans="1:4" x14ac:dyDescent="0.3">
      <c r="A18" s="16" t="s">
        <v>92</v>
      </c>
      <c r="B18" s="16" t="s">
        <v>79</v>
      </c>
      <c r="C18" s="16" t="s">
        <v>81</v>
      </c>
      <c r="D18" s="16">
        <v>1.6</v>
      </c>
    </row>
  </sheetData>
  <hyperlinks>
    <hyperlink ref="A1" location="Topics!B11" display="Home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00FF"/>
  </sheetPr>
  <dimension ref="A1:J204"/>
  <sheetViews>
    <sheetView zoomScale="115" zoomScaleNormal="115" workbookViewId="0">
      <selection activeCell="M11" sqref="M11"/>
    </sheetView>
  </sheetViews>
  <sheetFormatPr defaultRowHeight="14.4" x14ac:dyDescent="0.3"/>
  <cols>
    <col min="1" max="1" width="15.109375" customWidth="1"/>
    <col min="2" max="2" width="14.33203125" customWidth="1"/>
    <col min="3" max="3" width="15.6640625" customWidth="1"/>
    <col min="5" max="5" width="16.6640625" bestFit="1" customWidth="1"/>
    <col min="6" max="6" width="12.6640625" bestFit="1" customWidth="1"/>
  </cols>
  <sheetData>
    <row r="1" spans="1:10" x14ac:dyDescent="0.3">
      <c r="A1" s="13" t="s">
        <v>35</v>
      </c>
    </row>
    <row r="2" spans="1:10" ht="18" x14ac:dyDescent="0.35">
      <c r="A2" s="27" t="str">
        <f ca="1">"Topic: "&amp;INDEX(Topics!$A$12:$A$42,MATCH(REPLACE(CELL("filename",A1),1,SEARCH("]",CELL("filename",A1)),""),Topics!$C$12:$C$42,0))</f>
        <v>Topic: Sort by color</v>
      </c>
    </row>
    <row r="4" spans="1:10" x14ac:dyDescent="0.3">
      <c r="B4" s="21" t="s">
        <v>133</v>
      </c>
      <c r="C4" s="21" t="s">
        <v>131</v>
      </c>
      <c r="D4" s="21" t="s">
        <v>109</v>
      </c>
      <c r="E4" s="21" t="s">
        <v>110</v>
      </c>
      <c r="F4" s="21" t="s">
        <v>132</v>
      </c>
      <c r="G4" s="21" t="s">
        <v>111</v>
      </c>
      <c r="H4" s="21" t="s">
        <v>112</v>
      </c>
      <c r="I4" s="21" t="s">
        <v>113</v>
      </c>
      <c r="J4" s="21" t="s">
        <v>114</v>
      </c>
    </row>
    <row r="5" spans="1:10" x14ac:dyDescent="0.3">
      <c r="B5" s="31">
        <v>40183</v>
      </c>
      <c r="C5" s="16">
        <v>49</v>
      </c>
      <c r="D5" s="16" t="s">
        <v>119</v>
      </c>
      <c r="E5" s="16" t="s">
        <v>124</v>
      </c>
      <c r="F5" s="16" t="s">
        <v>118</v>
      </c>
      <c r="G5" s="16" t="s">
        <v>127</v>
      </c>
      <c r="H5" s="28">
        <v>19.95</v>
      </c>
      <c r="I5" s="16">
        <v>1</v>
      </c>
      <c r="J5" s="28">
        <v>19.95</v>
      </c>
    </row>
    <row r="6" spans="1:10" x14ac:dyDescent="0.3">
      <c r="B6" s="29">
        <v>40358</v>
      </c>
      <c r="C6" s="16">
        <v>57</v>
      </c>
      <c r="D6" s="16" t="s">
        <v>109</v>
      </c>
      <c r="E6" s="16" t="s">
        <v>115</v>
      </c>
      <c r="F6" s="16" t="s">
        <v>118</v>
      </c>
      <c r="G6" s="16" t="s">
        <v>117</v>
      </c>
      <c r="H6" s="28">
        <v>19.95</v>
      </c>
      <c r="I6" s="16">
        <v>1</v>
      </c>
      <c r="J6" s="28">
        <v>19.95</v>
      </c>
    </row>
    <row r="7" spans="1:10" x14ac:dyDescent="0.3">
      <c r="B7" s="29">
        <v>40421</v>
      </c>
      <c r="C7" s="16">
        <v>38</v>
      </c>
      <c r="D7" s="16" t="s">
        <v>119</v>
      </c>
      <c r="E7" s="16" t="s">
        <v>122</v>
      </c>
      <c r="F7" s="16" t="s">
        <v>118</v>
      </c>
      <c r="G7" s="16" t="s">
        <v>117</v>
      </c>
      <c r="H7" s="28">
        <v>19.95</v>
      </c>
      <c r="I7" s="16">
        <v>1</v>
      </c>
      <c r="J7" s="28">
        <v>19.95</v>
      </c>
    </row>
    <row r="8" spans="1:10" x14ac:dyDescent="0.3">
      <c r="B8" s="29">
        <v>40335</v>
      </c>
      <c r="C8" s="16">
        <v>55</v>
      </c>
      <c r="D8" s="16" t="s">
        <v>119</v>
      </c>
      <c r="E8" s="16" t="s">
        <v>124</v>
      </c>
      <c r="F8" s="16" t="s">
        <v>118</v>
      </c>
      <c r="G8" s="16" t="s">
        <v>125</v>
      </c>
      <c r="H8" s="28">
        <v>19.95</v>
      </c>
      <c r="I8" s="16">
        <v>1</v>
      </c>
      <c r="J8" s="28">
        <v>19.95</v>
      </c>
    </row>
    <row r="9" spans="1:10" x14ac:dyDescent="0.3">
      <c r="B9" s="29">
        <v>40490</v>
      </c>
      <c r="C9" s="16">
        <v>64</v>
      </c>
      <c r="D9" s="16" t="s">
        <v>109</v>
      </c>
      <c r="E9" s="16" t="s">
        <v>123</v>
      </c>
      <c r="F9" s="16" t="s">
        <v>118</v>
      </c>
      <c r="G9" s="16" t="s">
        <v>127</v>
      </c>
      <c r="H9" s="28">
        <v>19.95</v>
      </c>
      <c r="I9" s="16">
        <v>1</v>
      </c>
      <c r="J9" s="28">
        <v>19.95</v>
      </c>
    </row>
    <row r="10" spans="1:10" x14ac:dyDescent="0.3">
      <c r="B10" s="29">
        <v>40494</v>
      </c>
      <c r="C10" s="16">
        <v>18</v>
      </c>
      <c r="D10" s="16" t="s">
        <v>119</v>
      </c>
      <c r="E10" s="16" t="s">
        <v>122</v>
      </c>
      <c r="F10" s="16" t="s">
        <v>118</v>
      </c>
      <c r="G10" s="16" t="s">
        <v>117</v>
      </c>
      <c r="H10" s="28">
        <v>19.95</v>
      </c>
      <c r="I10" s="16">
        <v>1</v>
      </c>
      <c r="J10" s="28">
        <v>19.95</v>
      </c>
    </row>
    <row r="11" spans="1:10" x14ac:dyDescent="0.3">
      <c r="B11" s="29">
        <v>40195</v>
      </c>
      <c r="C11" s="16">
        <v>22</v>
      </c>
      <c r="D11" s="16" t="s">
        <v>109</v>
      </c>
      <c r="E11" s="16" t="s">
        <v>122</v>
      </c>
      <c r="F11" s="16" t="s">
        <v>118</v>
      </c>
      <c r="G11" s="16" t="s">
        <v>127</v>
      </c>
      <c r="H11" s="28">
        <v>19.95</v>
      </c>
      <c r="I11" s="16">
        <v>1</v>
      </c>
      <c r="J11" s="28">
        <v>19.95</v>
      </c>
    </row>
    <row r="12" spans="1:10" x14ac:dyDescent="0.3">
      <c r="B12" s="29">
        <v>40218</v>
      </c>
      <c r="C12" s="16">
        <v>57</v>
      </c>
      <c r="D12" s="16" t="s">
        <v>119</v>
      </c>
      <c r="E12" s="16" t="s">
        <v>115</v>
      </c>
      <c r="F12" s="16" t="s">
        <v>118</v>
      </c>
      <c r="G12" s="16" t="s">
        <v>125</v>
      </c>
      <c r="H12" s="28">
        <v>19.95</v>
      </c>
      <c r="I12" s="16">
        <v>1</v>
      </c>
      <c r="J12" s="28">
        <v>19.95</v>
      </c>
    </row>
    <row r="13" spans="1:10" x14ac:dyDescent="0.3">
      <c r="B13" s="29">
        <v>40387</v>
      </c>
      <c r="C13" s="16">
        <v>48</v>
      </c>
      <c r="D13" s="16" t="s">
        <v>109</v>
      </c>
      <c r="E13" s="16" t="s">
        <v>115</v>
      </c>
      <c r="F13" s="16" t="s">
        <v>118</v>
      </c>
      <c r="G13" s="16" t="s">
        <v>127</v>
      </c>
      <c r="H13" s="28">
        <v>19.95</v>
      </c>
      <c r="I13" s="16">
        <v>1</v>
      </c>
      <c r="J13" s="28">
        <v>19.95</v>
      </c>
    </row>
    <row r="14" spans="1:10" x14ac:dyDescent="0.3">
      <c r="B14" s="29">
        <v>40284</v>
      </c>
      <c r="C14" s="16">
        <v>19</v>
      </c>
      <c r="D14" s="16" t="s">
        <v>119</v>
      </c>
      <c r="E14" s="16" t="s">
        <v>123</v>
      </c>
      <c r="F14" s="16" t="s">
        <v>118</v>
      </c>
      <c r="G14" s="16" t="s">
        <v>117</v>
      </c>
      <c r="H14" s="28">
        <v>19.95</v>
      </c>
      <c r="I14" s="16">
        <v>1</v>
      </c>
      <c r="J14" s="28">
        <v>19.95</v>
      </c>
    </row>
    <row r="15" spans="1:10" x14ac:dyDescent="0.3">
      <c r="B15" s="29">
        <v>40350</v>
      </c>
      <c r="C15" s="16">
        <v>43</v>
      </c>
      <c r="D15" s="16" t="s">
        <v>109</v>
      </c>
      <c r="E15" s="16" t="s">
        <v>124</v>
      </c>
      <c r="F15" s="16" t="s">
        <v>118</v>
      </c>
      <c r="G15" s="16" t="s">
        <v>117</v>
      </c>
      <c r="H15" s="28">
        <v>19.95</v>
      </c>
      <c r="I15" s="16">
        <v>1</v>
      </c>
      <c r="J15" s="28">
        <v>19.95</v>
      </c>
    </row>
    <row r="16" spans="1:10" x14ac:dyDescent="0.3">
      <c r="B16" s="30">
        <v>40305</v>
      </c>
      <c r="C16" s="16">
        <v>55</v>
      </c>
      <c r="D16" s="16" t="s">
        <v>119</v>
      </c>
      <c r="E16" s="16" t="s">
        <v>123</v>
      </c>
      <c r="F16" s="16" t="s">
        <v>118</v>
      </c>
      <c r="G16" s="16" t="s">
        <v>117</v>
      </c>
      <c r="H16" s="28">
        <v>19.95</v>
      </c>
      <c r="I16" s="16">
        <v>1</v>
      </c>
      <c r="J16" s="28">
        <v>19.95</v>
      </c>
    </row>
    <row r="17" spans="2:10" x14ac:dyDescent="0.3">
      <c r="B17" s="29">
        <v>40239</v>
      </c>
      <c r="C17" s="16">
        <v>21</v>
      </c>
      <c r="D17" s="16" t="s">
        <v>119</v>
      </c>
      <c r="E17" s="16" t="s">
        <v>123</v>
      </c>
      <c r="F17" s="16" t="s">
        <v>118</v>
      </c>
      <c r="G17" s="16" t="s">
        <v>127</v>
      </c>
      <c r="H17" s="28">
        <v>19.95</v>
      </c>
      <c r="I17" s="16">
        <v>1</v>
      </c>
      <c r="J17" s="28">
        <v>19.95</v>
      </c>
    </row>
    <row r="18" spans="2:10" x14ac:dyDescent="0.3">
      <c r="B18" s="29">
        <v>40420</v>
      </c>
      <c r="C18" s="16">
        <v>30</v>
      </c>
      <c r="D18" s="16" t="s">
        <v>119</v>
      </c>
      <c r="E18" s="16" t="s">
        <v>124</v>
      </c>
      <c r="F18" s="16" t="s">
        <v>118</v>
      </c>
      <c r="G18" s="16" t="s">
        <v>121</v>
      </c>
      <c r="H18" s="28">
        <v>19.95</v>
      </c>
      <c r="I18" s="16">
        <v>1</v>
      </c>
      <c r="J18" s="28">
        <v>19.95</v>
      </c>
    </row>
    <row r="19" spans="2:10" x14ac:dyDescent="0.3">
      <c r="B19" s="29">
        <v>40476</v>
      </c>
      <c r="C19" s="16">
        <v>23</v>
      </c>
      <c r="D19" s="16" t="s">
        <v>119</v>
      </c>
      <c r="E19" s="16" t="s">
        <v>124</v>
      </c>
      <c r="F19" s="16" t="s">
        <v>118</v>
      </c>
      <c r="G19" s="16" t="s">
        <v>127</v>
      </c>
      <c r="H19" s="28">
        <v>19.95</v>
      </c>
      <c r="I19" s="16">
        <v>1</v>
      </c>
      <c r="J19" s="28">
        <v>19.95</v>
      </c>
    </row>
    <row r="20" spans="2:10" x14ac:dyDescent="0.3">
      <c r="B20" s="29">
        <v>40513</v>
      </c>
      <c r="C20" s="16">
        <v>50</v>
      </c>
      <c r="D20" s="16" t="s">
        <v>119</v>
      </c>
      <c r="E20" s="16" t="s">
        <v>123</v>
      </c>
      <c r="F20" s="16" t="s">
        <v>118</v>
      </c>
      <c r="G20" s="16" t="s">
        <v>127</v>
      </c>
      <c r="H20" s="28">
        <v>19.95</v>
      </c>
      <c r="I20" s="16">
        <v>1</v>
      </c>
      <c r="J20" s="28">
        <v>19.95</v>
      </c>
    </row>
    <row r="21" spans="2:10" x14ac:dyDescent="0.3">
      <c r="B21" s="29">
        <v>40208</v>
      </c>
      <c r="C21" s="16">
        <v>35</v>
      </c>
      <c r="D21" s="16" t="s">
        <v>109</v>
      </c>
      <c r="E21" s="16" t="s">
        <v>126</v>
      </c>
      <c r="F21" s="16" t="s">
        <v>118</v>
      </c>
      <c r="G21" s="16" t="s">
        <v>117</v>
      </c>
      <c r="H21" s="28">
        <v>19.95</v>
      </c>
      <c r="I21" s="16">
        <v>1</v>
      </c>
      <c r="J21" s="28">
        <v>19.95</v>
      </c>
    </row>
    <row r="22" spans="2:10" x14ac:dyDescent="0.3">
      <c r="B22" s="29">
        <v>40411</v>
      </c>
      <c r="C22" s="16">
        <v>24</v>
      </c>
      <c r="D22" s="16" t="s">
        <v>109</v>
      </c>
      <c r="E22" s="16" t="s">
        <v>124</v>
      </c>
      <c r="F22" s="16" t="s">
        <v>118</v>
      </c>
      <c r="G22" s="16" t="s">
        <v>127</v>
      </c>
      <c r="H22" s="28">
        <v>19.95</v>
      </c>
      <c r="I22" s="16">
        <v>1</v>
      </c>
      <c r="J22" s="28">
        <v>19.95</v>
      </c>
    </row>
    <row r="23" spans="2:10" x14ac:dyDescent="0.3">
      <c r="B23" s="29">
        <v>40418</v>
      </c>
      <c r="C23" s="16">
        <v>24</v>
      </c>
      <c r="D23" s="16" t="s">
        <v>109</v>
      </c>
      <c r="E23" s="16" t="s">
        <v>124</v>
      </c>
      <c r="F23" s="16" t="s">
        <v>118</v>
      </c>
      <c r="G23" s="16" t="s">
        <v>127</v>
      </c>
      <c r="H23" s="28">
        <v>19.95</v>
      </c>
      <c r="I23" s="16">
        <v>1</v>
      </c>
      <c r="J23" s="28">
        <v>19.95</v>
      </c>
    </row>
    <row r="24" spans="2:10" x14ac:dyDescent="0.3">
      <c r="B24" s="29">
        <v>40487</v>
      </c>
      <c r="C24" s="16">
        <v>25</v>
      </c>
      <c r="D24" s="16" t="s">
        <v>119</v>
      </c>
      <c r="E24" s="16" t="s">
        <v>115</v>
      </c>
      <c r="F24" s="16" t="s">
        <v>120</v>
      </c>
      <c r="G24" s="16" t="s">
        <v>121</v>
      </c>
      <c r="H24" s="28">
        <v>21.95</v>
      </c>
      <c r="I24" s="16">
        <v>1</v>
      </c>
      <c r="J24" s="28">
        <v>21.95</v>
      </c>
    </row>
    <row r="25" spans="2:10" x14ac:dyDescent="0.3">
      <c r="B25" s="29">
        <v>40381</v>
      </c>
      <c r="C25" s="16">
        <v>54</v>
      </c>
      <c r="D25" s="16" t="s">
        <v>119</v>
      </c>
      <c r="E25" s="16" t="s">
        <v>122</v>
      </c>
      <c r="F25" s="16" t="s">
        <v>120</v>
      </c>
      <c r="G25" s="16" t="s">
        <v>117</v>
      </c>
      <c r="H25" s="28">
        <v>21.95</v>
      </c>
      <c r="I25" s="16">
        <v>1</v>
      </c>
      <c r="J25" s="28">
        <v>21.95</v>
      </c>
    </row>
    <row r="26" spans="2:10" x14ac:dyDescent="0.3">
      <c r="B26" s="29">
        <v>40367</v>
      </c>
      <c r="C26" s="16">
        <v>63</v>
      </c>
      <c r="D26" s="16" t="s">
        <v>119</v>
      </c>
      <c r="E26" s="16" t="s">
        <v>124</v>
      </c>
      <c r="F26" s="16" t="s">
        <v>120</v>
      </c>
      <c r="G26" s="16" t="s">
        <v>117</v>
      </c>
      <c r="H26" s="28">
        <v>21.95</v>
      </c>
      <c r="I26" s="16">
        <v>1</v>
      </c>
      <c r="J26" s="28">
        <v>21.95</v>
      </c>
    </row>
    <row r="27" spans="2:10" x14ac:dyDescent="0.3">
      <c r="B27" s="29">
        <v>40517</v>
      </c>
      <c r="C27" s="16">
        <v>39</v>
      </c>
      <c r="D27" s="16" t="s">
        <v>109</v>
      </c>
      <c r="E27" s="16" t="s">
        <v>123</v>
      </c>
      <c r="F27" s="16" t="s">
        <v>120</v>
      </c>
      <c r="G27" s="16" t="s">
        <v>127</v>
      </c>
      <c r="H27" s="28">
        <v>21.95</v>
      </c>
      <c r="I27" s="16">
        <v>1</v>
      </c>
      <c r="J27" s="28">
        <v>21.95</v>
      </c>
    </row>
    <row r="28" spans="2:10" x14ac:dyDescent="0.3">
      <c r="B28" s="29">
        <v>40538</v>
      </c>
      <c r="C28" s="16">
        <v>52</v>
      </c>
      <c r="D28" s="16" t="s">
        <v>109</v>
      </c>
      <c r="E28" s="16" t="s">
        <v>126</v>
      </c>
      <c r="F28" s="16" t="s">
        <v>120</v>
      </c>
      <c r="G28" s="16" t="s">
        <v>117</v>
      </c>
      <c r="H28" s="28">
        <v>21.95</v>
      </c>
      <c r="I28" s="16">
        <v>1</v>
      </c>
      <c r="J28" s="28">
        <v>21.95</v>
      </c>
    </row>
    <row r="29" spans="2:10" x14ac:dyDescent="0.3">
      <c r="B29" s="29">
        <v>40356</v>
      </c>
      <c r="C29" s="16">
        <v>29</v>
      </c>
      <c r="D29" s="16" t="s">
        <v>109</v>
      </c>
      <c r="E29" s="16" t="s">
        <v>124</v>
      </c>
      <c r="F29" s="16" t="s">
        <v>120</v>
      </c>
      <c r="G29" s="16" t="s">
        <v>125</v>
      </c>
      <c r="H29" s="28">
        <v>21.95</v>
      </c>
      <c r="I29" s="16">
        <v>1</v>
      </c>
      <c r="J29" s="28">
        <v>21.95</v>
      </c>
    </row>
    <row r="30" spans="2:10" x14ac:dyDescent="0.3">
      <c r="B30" s="29">
        <v>40265</v>
      </c>
      <c r="C30" s="16">
        <v>40</v>
      </c>
      <c r="D30" s="16" t="s">
        <v>119</v>
      </c>
      <c r="E30" s="16" t="s">
        <v>126</v>
      </c>
      <c r="F30" s="16" t="s">
        <v>120</v>
      </c>
      <c r="G30" s="16" t="s">
        <v>125</v>
      </c>
      <c r="H30" s="28">
        <v>21.95</v>
      </c>
      <c r="I30" s="16">
        <v>1</v>
      </c>
      <c r="J30" s="28">
        <v>21.95</v>
      </c>
    </row>
    <row r="31" spans="2:10" x14ac:dyDescent="0.3">
      <c r="B31" s="29">
        <v>40500</v>
      </c>
      <c r="C31" s="16">
        <v>30</v>
      </c>
      <c r="D31" s="16" t="s">
        <v>109</v>
      </c>
      <c r="E31" s="16" t="s">
        <v>126</v>
      </c>
      <c r="F31" s="16" t="s">
        <v>120</v>
      </c>
      <c r="G31" s="16" t="s">
        <v>117</v>
      </c>
      <c r="H31" s="28">
        <v>21.95</v>
      </c>
      <c r="I31" s="16">
        <v>1</v>
      </c>
      <c r="J31" s="28">
        <v>21.95</v>
      </c>
    </row>
    <row r="32" spans="2:10" x14ac:dyDescent="0.3">
      <c r="B32" s="29">
        <v>40454</v>
      </c>
      <c r="C32" s="16">
        <v>65</v>
      </c>
      <c r="D32" s="16" t="s">
        <v>119</v>
      </c>
      <c r="E32" s="16" t="s">
        <v>126</v>
      </c>
      <c r="F32" s="16" t="s">
        <v>120</v>
      </c>
      <c r="G32" s="16" t="s">
        <v>121</v>
      </c>
      <c r="H32" s="28">
        <v>21.95</v>
      </c>
      <c r="I32" s="16">
        <v>1</v>
      </c>
      <c r="J32" s="28">
        <v>21.95</v>
      </c>
    </row>
    <row r="33" spans="2:10" x14ac:dyDescent="0.3">
      <c r="B33" s="29">
        <v>40186</v>
      </c>
      <c r="C33" s="16">
        <v>41</v>
      </c>
      <c r="D33" s="16" t="s">
        <v>109</v>
      </c>
      <c r="E33" s="16" t="s">
        <v>115</v>
      </c>
      <c r="F33" s="16" t="s">
        <v>120</v>
      </c>
      <c r="G33" s="16" t="s">
        <v>117</v>
      </c>
      <c r="H33" s="28">
        <v>21.95</v>
      </c>
      <c r="I33" s="16">
        <v>1</v>
      </c>
      <c r="J33" s="28">
        <v>21.95</v>
      </c>
    </row>
    <row r="34" spans="2:10" x14ac:dyDescent="0.3">
      <c r="B34" s="29">
        <v>40196</v>
      </c>
      <c r="C34" s="16">
        <v>22</v>
      </c>
      <c r="D34" s="16" t="s">
        <v>109</v>
      </c>
      <c r="E34" s="16" t="s">
        <v>123</v>
      </c>
      <c r="F34" s="16" t="s">
        <v>116</v>
      </c>
      <c r="G34" s="16" t="s">
        <v>117</v>
      </c>
      <c r="H34" s="28">
        <v>22.95</v>
      </c>
      <c r="I34" s="16">
        <v>1</v>
      </c>
      <c r="J34" s="28">
        <v>22.95</v>
      </c>
    </row>
    <row r="35" spans="2:10" x14ac:dyDescent="0.3">
      <c r="B35" s="29">
        <v>40460</v>
      </c>
      <c r="C35" s="16">
        <v>42</v>
      </c>
      <c r="D35" s="16" t="s">
        <v>109</v>
      </c>
      <c r="E35" s="16" t="s">
        <v>124</v>
      </c>
      <c r="F35" s="16" t="s">
        <v>116</v>
      </c>
      <c r="G35" s="16" t="s">
        <v>127</v>
      </c>
      <c r="H35" s="28">
        <v>22.95</v>
      </c>
      <c r="I35" s="16">
        <v>1</v>
      </c>
      <c r="J35" s="28">
        <v>22.95</v>
      </c>
    </row>
    <row r="36" spans="2:10" x14ac:dyDescent="0.3">
      <c r="B36" s="29">
        <v>40440</v>
      </c>
      <c r="C36" s="16">
        <v>32</v>
      </c>
      <c r="D36" s="16" t="s">
        <v>119</v>
      </c>
      <c r="E36" s="16" t="s">
        <v>124</v>
      </c>
      <c r="F36" s="16" t="s">
        <v>116</v>
      </c>
      <c r="G36" s="16" t="s">
        <v>117</v>
      </c>
      <c r="H36" s="28">
        <v>22.95</v>
      </c>
      <c r="I36" s="16">
        <v>1</v>
      </c>
      <c r="J36" s="28">
        <v>22.95</v>
      </c>
    </row>
    <row r="37" spans="2:10" x14ac:dyDescent="0.3">
      <c r="B37" s="29">
        <v>40183</v>
      </c>
      <c r="C37" s="16">
        <v>33</v>
      </c>
      <c r="D37" s="16" t="s">
        <v>119</v>
      </c>
      <c r="E37" s="16" t="s">
        <v>124</v>
      </c>
      <c r="F37" s="16" t="s">
        <v>116</v>
      </c>
      <c r="G37" s="16" t="s">
        <v>125</v>
      </c>
      <c r="H37" s="28">
        <v>22.95</v>
      </c>
      <c r="I37" s="16">
        <v>1</v>
      </c>
      <c r="J37" s="28">
        <v>22.95</v>
      </c>
    </row>
    <row r="38" spans="2:10" x14ac:dyDescent="0.3">
      <c r="B38" s="29">
        <v>40518</v>
      </c>
      <c r="C38" s="16">
        <v>63</v>
      </c>
      <c r="D38" s="16" t="s">
        <v>119</v>
      </c>
      <c r="E38" s="16" t="s">
        <v>124</v>
      </c>
      <c r="F38" s="16" t="s">
        <v>116</v>
      </c>
      <c r="G38" s="16" t="s">
        <v>121</v>
      </c>
      <c r="H38" s="28">
        <v>22.95</v>
      </c>
      <c r="I38" s="16">
        <v>1</v>
      </c>
      <c r="J38" s="28">
        <v>22.95</v>
      </c>
    </row>
    <row r="39" spans="2:10" x14ac:dyDescent="0.3">
      <c r="B39" s="29">
        <v>40242</v>
      </c>
      <c r="C39" s="16">
        <v>40</v>
      </c>
      <c r="D39" s="16" t="s">
        <v>119</v>
      </c>
      <c r="E39" s="16" t="s">
        <v>122</v>
      </c>
      <c r="F39" s="16" t="s">
        <v>116</v>
      </c>
      <c r="G39" s="16" t="s">
        <v>117</v>
      </c>
      <c r="H39" s="28">
        <v>22.95</v>
      </c>
      <c r="I39" s="16">
        <v>1</v>
      </c>
      <c r="J39" s="28">
        <v>22.95</v>
      </c>
    </row>
    <row r="40" spans="2:10" x14ac:dyDescent="0.3">
      <c r="B40" s="29">
        <v>40364</v>
      </c>
      <c r="C40" s="16">
        <v>56</v>
      </c>
      <c r="D40" s="16" t="s">
        <v>109</v>
      </c>
      <c r="E40" s="16" t="s">
        <v>126</v>
      </c>
      <c r="F40" s="16" t="s">
        <v>116</v>
      </c>
      <c r="G40" s="16" t="s">
        <v>117</v>
      </c>
      <c r="H40" s="28">
        <v>22.95</v>
      </c>
      <c r="I40" s="16">
        <v>1</v>
      </c>
      <c r="J40" s="28">
        <v>22.95</v>
      </c>
    </row>
    <row r="41" spans="2:10" x14ac:dyDescent="0.3">
      <c r="B41" s="29">
        <v>40415</v>
      </c>
      <c r="C41" s="16">
        <v>47</v>
      </c>
      <c r="D41" s="16" t="s">
        <v>109</v>
      </c>
      <c r="E41" s="16" t="s">
        <v>123</v>
      </c>
      <c r="F41" s="16" t="s">
        <v>116</v>
      </c>
      <c r="G41" s="16" t="s">
        <v>127</v>
      </c>
      <c r="H41" s="28">
        <v>22.95</v>
      </c>
      <c r="I41" s="16">
        <v>1</v>
      </c>
      <c r="J41" s="28">
        <v>22.95</v>
      </c>
    </row>
    <row r="42" spans="2:10" x14ac:dyDescent="0.3">
      <c r="B42" s="29">
        <v>40527</v>
      </c>
      <c r="C42" s="16">
        <v>27</v>
      </c>
      <c r="D42" s="16" t="s">
        <v>119</v>
      </c>
      <c r="E42" s="16" t="s">
        <v>122</v>
      </c>
      <c r="F42" s="16" t="s">
        <v>116</v>
      </c>
      <c r="G42" s="16" t="s">
        <v>121</v>
      </c>
      <c r="H42" s="28">
        <v>22.95</v>
      </c>
      <c r="I42" s="16">
        <v>1</v>
      </c>
      <c r="J42" s="28">
        <v>22.95</v>
      </c>
    </row>
    <row r="43" spans="2:10" x14ac:dyDescent="0.3">
      <c r="B43" s="29">
        <v>40543</v>
      </c>
      <c r="C43" s="16">
        <v>50</v>
      </c>
      <c r="D43" s="16" t="s">
        <v>109</v>
      </c>
      <c r="E43" s="16" t="s">
        <v>123</v>
      </c>
      <c r="F43" s="16" t="s">
        <v>116</v>
      </c>
      <c r="G43" s="16" t="s">
        <v>127</v>
      </c>
      <c r="H43" s="28">
        <v>22.95</v>
      </c>
      <c r="I43" s="16">
        <v>1</v>
      </c>
      <c r="J43" s="28">
        <v>22.95</v>
      </c>
    </row>
    <row r="44" spans="2:10" x14ac:dyDescent="0.3">
      <c r="B44" s="29">
        <v>40393</v>
      </c>
      <c r="C44" s="16">
        <v>35</v>
      </c>
      <c r="D44" s="16" t="s">
        <v>119</v>
      </c>
      <c r="E44" s="16" t="s">
        <v>115</v>
      </c>
      <c r="F44" s="16" t="s">
        <v>116</v>
      </c>
      <c r="G44" s="16" t="s">
        <v>127</v>
      </c>
      <c r="H44" s="28">
        <v>22.95</v>
      </c>
      <c r="I44" s="16">
        <v>1</v>
      </c>
      <c r="J44" s="28">
        <v>22.95</v>
      </c>
    </row>
    <row r="45" spans="2:10" x14ac:dyDescent="0.3">
      <c r="B45" s="29">
        <v>40393</v>
      </c>
      <c r="C45" s="16">
        <v>30</v>
      </c>
      <c r="D45" s="16" t="s">
        <v>119</v>
      </c>
      <c r="E45" s="16" t="s">
        <v>123</v>
      </c>
      <c r="F45" s="16" t="s">
        <v>116</v>
      </c>
      <c r="G45" s="16" t="s">
        <v>127</v>
      </c>
      <c r="H45" s="28">
        <v>22.95</v>
      </c>
      <c r="I45" s="16">
        <v>1</v>
      </c>
      <c r="J45" s="28">
        <v>22.95</v>
      </c>
    </row>
    <row r="46" spans="2:10" x14ac:dyDescent="0.3">
      <c r="B46" s="29">
        <v>40523</v>
      </c>
      <c r="C46" s="16">
        <v>29</v>
      </c>
      <c r="D46" s="16" t="s">
        <v>109</v>
      </c>
      <c r="E46" s="16" t="s">
        <v>123</v>
      </c>
      <c r="F46" s="16" t="s">
        <v>116</v>
      </c>
      <c r="G46" s="16" t="s">
        <v>117</v>
      </c>
      <c r="H46" s="28">
        <v>22.95</v>
      </c>
      <c r="I46" s="16">
        <v>1</v>
      </c>
      <c r="J46" s="28">
        <v>22.95</v>
      </c>
    </row>
    <row r="47" spans="2:10" x14ac:dyDescent="0.3">
      <c r="B47" s="31">
        <v>40193</v>
      </c>
      <c r="C47" s="16">
        <v>25</v>
      </c>
      <c r="D47" s="16" t="s">
        <v>119</v>
      </c>
      <c r="E47" s="16" t="s">
        <v>123</v>
      </c>
      <c r="F47" s="16" t="s">
        <v>130</v>
      </c>
      <c r="G47" s="16" t="s">
        <v>117</v>
      </c>
      <c r="H47" s="28">
        <v>24.95</v>
      </c>
      <c r="I47" s="16">
        <v>1</v>
      </c>
      <c r="J47" s="28">
        <v>24.95</v>
      </c>
    </row>
    <row r="48" spans="2:10" x14ac:dyDescent="0.3">
      <c r="B48" s="29">
        <v>40183</v>
      </c>
      <c r="C48" s="16">
        <v>63</v>
      </c>
      <c r="D48" s="16" t="s">
        <v>119</v>
      </c>
      <c r="E48" s="16" t="s">
        <v>124</v>
      </c>
      <c r="F48" s="16" t="s">
        <v>128</v>
      </c>
      <c r="G48" s="16" t="s">
        <v>121</v>
      </c>
      <c r="H48" s="28">
        <v>24.95</v>
      </c>
      <c r="I48" s="16">
        <v>1</v>
      </c>
      <c r="J48" s="28">
        <v>24.95</v>
      </c>
    </row>
    <row r="49" spans="2:10" x14ac:dyDescent="0.3">
      <c r="B49" s="29">
        <v>40543</v>
      </c>
      <c r="C49" s="16">
        <v>62</v>
      </c>
      <c r="D49" s="16" t="s">
        <v>119</v>
      </c>
      <c r="E49" s="16" t="s">
        <v>126</v>
      </c>
      <c r="F49" s="16" t="s">
        <v>128</v>
      </c>
      <c r="G49" s="16" t="s">
        <v>121</v>
      </c>
      <c r="H49" s="28">
        <v>24.95</v>
      </c>
      <c r="I49" s="16">
        <v>1</v>
      </c>
      <c r="J49" s="28">
        <v>24.95</v>
      </c>
    </row>
    <row r="50" spans="2:10" x14ac:dyDescent="0.3">
      <c r="B50" s="29">
        <v>40260</v>
      </c>
      <c r="C50" s="16">
        <v>20</v>
      </c>
      <c r="D50" s="16" t="s">
        <v>119</v>
      </c>
      <c r="E50" s="16" t="s">
        <v>124</v>
      </c>
      <c r="F50" s="16" t="s">
        <v>130</v>
      </c>
      <c r="G50" s="16" t="s">
        <v>117</v>
      </c>
      <c r="H50" s="28">
        <v>24.95</v>
      </c>
      <c r="I50" s="16">
        <v>1</v>
      </c>
      <c r="J50" s="28">
        <v>24.95</v>
      </c>
    </row>
    <row r="51" spans="2:10" x14ac:dyDescent="0.3">
      <c r="B51" s="29">
        <v>40525</v>
      </c>
      <c r="C51" s="16">
        <v>33</v>
      </c>
      <c r="D51" s="16" t="s">
        <v>119</v>
      </c>
      <c r="E51" s="16" t="s">
        <v>123</v>
      </c>
      <c r="F51" s="16" t="s">
        <v>128</v>
      </c>
      <c r="G51" s="16" t="s">
        <v>127</v>
      </c>
      <c r="H51" s="28">
        <v>24.95</v>
      </c>
      <c r="I51" s="16">
        <v>1</v>
      </c>
      <c r="J51" s="28">
        <v>24.95</v>
      </c>
    </row>
    <row r="52" spans="2:10" x14ac:dyDescent="0.3">
      <c r="B52" s="29">
        <v>40264</v>
      </c>
      <c r="C52" s="16">
        <v>24</v>
      </c>
      <c r="D52" s="16" t="s">
        <v>119</v>
      </c>
      <c r="E52" s="16" t="s">
        <v>123</v>
      </c>
      <c r="F52" s="16" t="s">
        <v>130</v>
      </c>
      <c r="G52" s="16" t="s">
        <v>117</v>
      </c>
      <c r="H52" s="28">
        <v>24.95</v>
      </c>
      <c r="I52" s="16">
        <v>1</v>
      </c>
      <c r="J52" s="28">
        <v>24.95</v>
      </c>
    </row>
    <row r="53" spans="2:10" x14ac:dyDescent="0.3">
      <c r="B53" s="29">
        <v>40249</v>
      </c>
      <c r="C53" s="16">
        <v>27</v>
      </c>
      <c r="D53" s="16" t="s">
        <v>119</v>
      </c>
      <c r="E53" s="16" t="s">
        <v>123</v>
      </c>
      <c r="F53" s="16" t="s">
        <v>130</v>
      </c>
      <c r="G53" s="16" t="s">
        <v>117</v>
      </c>
      <c r="H53" s="28">
        <v>24.95</v>
      </c>
      <c r="I53" s="16">
        <v>1</v>
      </c>
      <c r="J53" s="28">
        <v>24.95</v>
      </c>
    </row>
    <row r="54" spans="2:10" x14ac:dyDescent="0.3">
      <c r="B54" s="29">
        <v>40210</v>
      </c>
      <c r="C54" s="16">
        <v>25</v>
      </c>
      <c r="D54" s="16" t="s">
        <v>119</v>
      </c>
      <c r="E54" s="16" t="s">
        <v>115</v>
      </c>
      <c r="F54" s="16" t="s">
        <v>130</v>
      </c>
      <c r="G54" s="16" t="s">
        <v>117</v>
      </c>
      <c r="H54" s="28">
        <v>24.95</v>
      </c>
      <c r="I54" s="16">
        <v>1</v>
      </c>
      <c r="J54" s="28">
        <v>24.95</v>
      </c>
    </row>
    <row r="55" spans="2:10" x14ac:dyDescent="0.3">
      <c r="B55" s="29">
        <v>40382</v>
      </c>
      <c r="C55" s="16">
        <v>22</v>
      </c>
      <c r="D55" s="16" t="s">
        <v>109</v>
      </c>
      <c r="E55" s="16" t="s">
        <v>124</v>
      </c>
      <c r="F55" s="16" t="s">
        <v>130</v>
      </c>
      <c r="G55" s="16" t="s">
        <v>117</v>
      </c>
      <c r="H55" s="28">
        <v>24.95</v>
      </c>
      <c r="I55" s="16">
        <v>1</v>
      </c>
      <c r="J55" s="28">
        <v>24.95</v>
      </c>
    </row>
    <row r="56" spans="2:10" x14ac:dyDescent="0.3">
      <c r="B56" s="29">
        <v>40331</v>
      </c>
      <c r="C56" s="16">
        <v>46</v>
      </c>
      <c r="D56" s="16" t="s">
        <v>109</v>
      </c>
      <c r="E56" s="16" t="s">
        <v>124</v>
      </c>
      <c r="F56" s="16" t="s">
        <v>130</v>
      </c>
      <c r="G56" s="16" t="s">
        <v>117</v>
      </c>
      <c r="H56" s="28">
        <v>24.95</v>
      </c>
      <c r="I56" s="16">
        <v>1</v>
      </c>
      <c r="J56" s="28">
        <v>24.95</v>
      </c>
    </row>
    <row r="57" spans="2:10" x14ac:dyDescent="0.3">
      <c r="B57" s="30">
        <v>40298</v>
      </c>
      <c r="C57" s="16">
        <v>36</v>
      </c>
      <c r="D57" s="16" t="s">
        <v>109</v>
      </c>
      <c r="E57" s="16" t="s">
        <v>115</v>
      </c>
      <c r="F57" s="16" t="s">
        <v>130</v>
      </c>
      <c r="G57" s="16" t="s">
        <v>121</v>
      </c>
      <c r="H57" s="28">
        <v>24.95</v>
      </c>
      <c r="I57" s="16">
        <v>1</v>
      </c>
      <c r="J57" s="28">
        <v>24.95</v>
      </c>
    </row>
    <row r="58" spans="2:10" x14ac:dyDescent="0.3">
      <c r="B58" s="29">
        <v>40470</v>
      </c>
      <c r="C58" s="16">
        <v>52</v>
      </c>
      <c r="D58" s="16" t="s">
        <v>109</v>
      </c>
      <c r="E58" s="16" t="s">
        <v>123</v>
      </c>
      <c r="F58" s="16" t="s">
        <v>129</v>
      </c>
      <c r="G58" s="16" t="s">
        <v>117</v>
      </c>
      <c r="H58" s="28">
        <v>29.95</v>
      </c>
      <c r="I58" s="16">
        <v>1</v>
      </c>
      <c r="J58" s="28">
        <v>29.95</v>
      </c>
    </row>
    <row r="59" spans="2:10" x14ac:dyDescent="0.3">
      <c r="B59" s="29">
        <v>40240</v>
      </c>
      <c r="C59" s="16">
        <v>31</v>
      </c>
      <c r="D59" s="16" t="s">
        <v>109</v>
      </c>
      <c r="E59" s="16" t="s">
        <v>126</v>
      </c>
      <c r="F59" s="16" t="s">
        <v>129</v>
      </c>
      <c r="G59" s="16" t="s">
        <v>117</v>
      </c>
      <c r="H59" s="28">
        <v>29.95</v>
      </c>
      <c r="I59" s="16">
        <v>1</v>
      </c>
      <c r="J59" s="28">
        <v>29.95</v>
      </c>
    </row>
    <row r="60" spans="2:10" x14ac:dyDescent="0.3">
      <c r="B60" s="29">
        <v>40370</v>
      </c>
      <c r="C60" s="16">
        <v>42</v>
      </c>
      <c r="D60" s="16" t="s">
        <v>109</v>
      </c>
      <c r="E60" s="16" t="s">
        <v>124</v>
      </c>
      <c r="F60" s="16" t="s">
        <v>129</v>
      </c>
      <c r="G60" s="16" t="s">
        <v>127</v>
      </c>
      <c r="H60" s="28">
        <v>29.95</v>
      </c>
      <c r="I60" s="16">
        <v>1</v>
      </c>
      <c r="J60" s="28">
        <v>29.95</v>
      </c>
    </row>
    <row r="61" spans="2:10" x14ac:dyDescent="0.3">
      <c r="B61" s="29">
        <v>40225</v>
      </c>
      <c r="C61" s="16">
        <v>24</v>
      </c>
      <c r="D61" s="16" t="s">
        <v>109</v>
      </c>
      <c r="E61" s="16" t="s">
        <v>115</v>
      </c>
      <c r="F61" s="16" t="s">
        <v>129</v>
      </c>
      <c r="G61" s="16" t="s">
        <v>121</v>
      </c>
      <c r="H61" s="28">
        <v>29.95</v>
      </c>
      <c r="I61" s="16">
        <v>1</v>
      </c>
      <c r="J61" s="28">
        <v>29.95</v>
      </c>
    </row>
    <row r="62" spans="2:10" x14ac:dyDescent="0.3">
      <c r="B62" s="29">
        <v>40261</v>
      </c>
      <c r="C62" s="16">
        <v>19</v>
      </c>
      <c r="D62" s="16" t="s">
        <v>119</v>
      </c>
      <c r="E62" s="16" t="s">
        <v>126</v>
      </c>
      <c r="F62" s="16" t="s">
        <v>129</v>
      </c>
      <c r="G62" s="16" t="s">
        <v>127</v>
      </c>
      <c r="H62" s="28">
        <v>29.95</v>
      </c>
      <c r="I62" s="16">
        <v>1</v>
      </c>
      <c r="J62" s="28">
        <v>29.95</v>
      </c>
    </row>
    <row r="63" spans="2:10" x14ac:dyDescent="0.3">
      <c r="B63" s="29">
        <v>40383</v>
      </c>
      <c r="C63" s="16">
        <v>62</v>
      </c>
      <c r="D63" s="16" t="s">
        <v>119</v>
      </c>
      <c r="E63" s="16" t="s">
        <v>115</v>
      </c>
      <c r="F63" s="16" t="s">
        <v>129</v>
      </c>
      <c r="G63" s="16" t="s">
        <v>121</v>
      </c>
      <c r="H63" s="28">
        <v>29.95</v>
      </c>
      <c r="I63" s="16">
        <v>1</v>
      </c>
      <c r="J63" s="28">
        <v>29.95</v>
      </c>
    </row>
    <row r="64" spans="2:10" x14ac:dyDescent="0.3">
      <c r="B64" s="29">
        <v>40497</v>
      </c>
      <c r="C64" s="16">
        <v>50</v>
      </c>
      <c r="D64" s="16" t="s">
        <v>119</v>
      </c>
      <c r="E64" s="16" t="s">
        <v>123</v>
      </c>
      <c r="F64" s="16" t="s">
        <v>129</v>
      </c>
      <c r="G64" s="16" t="s">
        <v>117</v>
      </c>
      <c r="H64" s="28">
        <v>29.95</v>
      </c>
      <c r="I64" s="16">
        <v>1</v>
      </c>
      <c r="J64" s="28">
        <v>29.95</v>
      </c>
    </row>
    <row r="65" spans="2:10" x14ac:dyDescent="0.3">
      <c r="B65" s="29">
        <v>40304</v>
      </c>
      <c r="C65" s="16">
        <v>38</v>
      </c>
      <c r="D65" s="16" t="s">
        <v>119</v>
      </c>
      <c r="E65" s="16" t="s">
        <v>122</v>
      </c>
      <c r="F65" s="16" t="s">
        <v>129</v>
      </c>
      <c r="G65" s="16" t="s">
        <v>117</v>
      </c>
      <c r="H65" s="28">
        <v>29.95</v>
      </c>
      <c r="I65" s="16">
        <v>1</v>
      </c>
      <c r="J65" s="28">
        <v>29.95</v>
      </c>
    </row>
    <row r="66" spans="2:10" x14ac:dyDescent="0.3">
      <c r="B66" s="29">
        <v>40254</v>
      </c>
      <c r="C66" s="16">
        <v>41</v>
      </c>
      <c r="D66" s="16" t="s">
        <v>109</v>
      </c>
      <c r="E66" s="16" t="s">
        <v>115</v>
      </c>
      <c r="F66" s="16" t="s">
        <v>118</v>
      </c>
      <c r="G66" s="16" t="s">
        <v>125</v>
      </c>
      <c r="H66" s="28">
        <v>19.95</v>
      </c>
      <c r="I66" s="16">
        <v>2</v>
      </c>
      <c r="J66" s="28">
        <v>39.9</v>
      </c>
    </row>
    <row r="67" spans="2:10" x14ac:dyDescent="0.3">
      <c r="B67" s="29">
        <v>40401</v>
      </c>
      <c r="C67" s="16">
        <v>30</v>
      </c>
      <c r="D67" s="16" t="s">
        <v>119</v>
      </c>
      <c r="E67" s="16" t="s">
        <v>126</v>
      </c>
      <c r="F67" s="16" t="s">
        <v>118</v>
      </c>
      <c r="G67" s="16" t="s">
        <v>117</v>
      </c>
      <c r="H67" s="28">
        <v>19.95</v>
      </c>
      <c r="I67" s="16">
        <v>2</v>
      </c>
      <c r="J67" s="28">
        <v>39.9</v>
      </c>
    </row>
    <row r="68" spans="2:10" x14ac:dyDescent="0.3">
      <c r="B68" s="29">
        <v>40187</v>
      </c>
      <c r="C68" s="16">
        <v>21</v>
      </c>
      <c r="D68" s="16" t="s">
        <v>119</v>
      </c>
      <c r="E68" s="16" t="s">
        <v>123</v>
      </c>
      <c r="F68" s="16" t="s">
        <v>118</v>
      </c>
      <c r="G68" s="16" t="s">
        <v>127</v>
      </c>
      <c r="H68" s="28">
        <v>19.95</v>
      </c>
      <c r="I68" s="16">
        <v>2</v>
      </c>
      <c r="J68" s="28">
        <v>39.9</v>
      </c>
    </row>
    <row r="69" spans="2:10" x14ac:dyDescent="0.3">
      <c r="B69" s="29">
        <v>40362</v>
      </c>
      <c r="C69" s="16">
        <v>30</v>
      </c>
      <c r="D69" s="16" t="s">
        <v>119</v>
      </c>
      <c r="E69" s="16" t="s">
        <v>122</v>
      </c>
      <c r="F69" s="16" t="s">
        <v>118</v>
      </c>
      <c r="G69" s="16" t="s">
        <v>117</v>
      </c>
      <c r="H69" s="28">
        <v>19.95</v>
      </c>
      <c r="I69" s="16">
        <v>2</v>
      </c>
      <c r="J69" s="28">
        <v>39.9</v>
      </c>
    </row>
    <row r="70" spans="2:10" x14ac:dyDescent="0.3">
      <c r="B70" s="29">
        <v>40240</v>
      </c>
      <c r="C70" s="16">
        <v>24</v>
      </c>
      <c r="D70" s="16" t="s">
        <v>109</v>
      </c>
      <c r="E70" s="16" t="s">
        <v>122</v>
      </c>
      <c r="F70" s="16" t="s">
        <v>118</v>
      </c>
      <c r="G70" s="16" t="s">
        <v>121</v>
      </c>
      <c r="H70" s="28">
        <v>19.95</v>
      </c>
      <c r="I70" s="16">
        <v>2</v>
      </c>
      <c r="J70" s="28">
        <v>39.9</v>
      </c>
    </row>
    <row r="71" spans="2:10" x14ac:dyDescent="0.3">
      <c r="B71" s="29">
        <v>40281</v>
      </c>
      <c r="C71" s="16">
        <v>26</v>
      </c>
      <c r="D71" s="16" t="s">
        <v>119</v>
      </c>
      <c r="E71" s="16" t="s">
        <v>126</v>
      </c>
      <c r="F71" s="16" t="s">
        <v>118</v>
      </c>
      <c r="G71" s="16" t="s">
        <v>121</v>
      </c>
      <c r="H71" s="28">
        <v>19.95</v>
      </c>
      <c r="I71" s="16">
        <v>2</v>
      </c>
      <c r="J71" s="28">
        <v>39.9</v>
      </c>
    </row>
    <row r="72" spans="2:10" x14ac:dyDescent="0.3">
      <c r="B72" s="29">
        <v>40486</v>
      </c>
      <c r="C72" s="16">
        <v>19</v>
      </c>
      <c r="D72" s="16" t="s">
        <v>109</v>
      </c>
      <c r="E72" s="16" t="s">
        <v>124</v>
      </c>
      <c r="F72" s="16" t="s">
        <v>118</v>
      </c>
      <c r="G72" s="16" t="s">
        <v>121</v>
      </c>
      <c r="H72" s="28">
        <v>19.95</v>
      </c>
      <c r="I72" s="16">
        <v>2</v>
      </c>
      <c r="J72" s="28">
        <v>39.9</v>
      </c>
    </row>
    <row r="73" spans="2:10" x14ac:dyDescent="0.3">
      <c r="B73" s="29">
        <v>40500</v>
      </c>
      <c r="C73" s="16">
        <v>50</v>
      </c>
      <c r="D73" s="16" t="s">
        <v>119</v>
      </c>
      <c r="E73" s="16" t="s">
        <v>115</v>
      </c>
      <c r="F73" s="16" t="s">
        <v>118</v>
      </c>
      <c r="G73" s="16" t="s">
        <v>117</v>
      </c>
      <c r="H73" s="28">
        <v>19.95</v>
      </c>
      <c r="I73" s="16">
        <v>2</v>
      </c>
      <c r="J73" s="28">
        <v>39.9</v>
      </c>
    </row>
    <row r="74" spans="2:10" x14ac:dyDescent="0.3">
      <c r="B74" s="29">
        <v>40439</v>
      </c>
      <c r="C74" s="16">
        <v>59</v>
      </c>
      <c r="D74" s="16" t="s">
        <v>109</v>
      </c>
      <c r="E74" s="16" t="s">
        <v>115</v>
      </c>
      <c r="F74" s="16" t="s">
        <v>118</v>
      </c>
      <c r="G74" s="16" t="s">
        <v>125</v>
      </c>
      <c r="H74" s="28">
        <v>19.95</v>
      </c>
      <c r="I74" s="16">
        <v>2</v>
      </c>
      <c r="J74" s="28">
        <v>39.9</v>
      </c>
    </row>
    <row r="75" spans="2:10" x14ac:dyDescent="0.3">
      <c r="B75" s="29">
        <v>40253</v>
      </c>
      <c r="C75" s="16">
        <v>42</v>
      </c>
      <c r="D75" s="16" t="s">
        <v>119</v>
      </c>
      <c r="E75" s="16" t="s">
        <v>124</v>
      </c>
      <c r="F75" s="16" t="s">
        <v>118</v>
      </c>
      <c r="G75" s="16" t="s">
        <v>121</v>
      </c>
      <c r="H75" s="28">
        <v>19.95</v>
      </c>
      <c r="I75" s="16">
        <v>2</v>
      </c>
      <c r="J75" s="28">
        <v>39.9</v>
      </c>
    </row>
    <row r="76" spans="2:10" x14ac:dyDescent="0.3">
      <c r="B76" s="29">
        <v>40493</v>
      </c>
      <c r="C76" s="16">
        <v>24</v>
      </c>
      <c r="D76" s="16" t="s">
        <v>119</v>
      </c>
      <c r="E76" s="16" t="s">
        <v>123</v>
      </c>
      <c r="F76" s="16" t="s">
        <v>118</v>
      </c>
      <c r="G76" s="16" t="s">
        <v>117</v>
      </c>
      <c r="H76" s="28">
        <v>19.95</v>
      </c>
      <c r="I76" s="16">
        <v>2</v>
      </c>
      <c r="J76" s="28">
        <v>39.9</v>
      </c>
    </row>
    <row r="77" spans="2:10" x14ac:dyDescent="0.3">
      <c r="B77" s="29">
        <v>40247</v>
      </c>
      <c r="C77" s="16">
        <v>28</v>
      </c>
      <c r="D77" s="16" t="s">
        <v>109</v>
      </c>
      <c r="E77" s="16" t="s">
        <v>123</v>
      </c>
      <c r="F77" s="16" t="s">
        <v>118</v>
      </c>
      <c r="G77" s="16" t="s">
        <v>117</v>
      </c>
      <c r="H77" s="28">
        <v>19.95</v>
      </c>
      <c r="I77" s="16">
        <v>2</v>
      </c>
      <c r="J77" s="28">
        <v>39.9</v>
      </c>
    </row>
    <row r="78" spans="2:10" x14ac:dyDescent="0.3">
      <c r="B78" s="29">
        <v>40329</v>
      </c>
      <c r="C78" s="16">
        <v>52</v>
      </c>
      <c r="D78" s="16" t="s">
        <v>119</v>
      </c>
      <c r="E78" s="16" t="s">
        <v>123</v>
      </c>
      <c r="F78" s="16" t="s">
        <v>118</v>
      </c>
      <c r="G78" s="16" t="s">
        <v>117</v>
      </c>
      <c r="H78" s="28">
        <v>19.95</v>
      </c>
      <c r="I78" s="16">
        <v>2</v>
      </c>
      <c r="J78" s="28">
        <v>39.9</v>
      </c>
    </row>
    <row r="79" spans="2:10" x14ac:dyDescent="0.3">
      <c r="B79" s="29">
        <v>40418</v>
      </c>
      <c r="C79" s="16">
        <v>22</v>
      </c>
      <c r="D79" s="16" t="s">
        <v>119</v>
      </c>
      <c r="E79" s="16" t="s">
        <v>123</v>
      </c>
      <c r="F79" s="16" t="s">
        <v>120</v>
      </c>
      <c r="G79" s="16" t="s">
        <v>117</v>
      </c>
      <c r="H79" s="28">
        <v>21.95</v>
      </c>
      <c r="I79" s="16">
        <v>2</v>
      </c>
      <c r="J79" s="28">
        <v>43.9</v>
      </c>
    </row>
    <row r="80" spans="2:10" x14ac:dyDescent="0.3">
      <c r="B80" s="29">
        <v>40512</v>
      </c>
      <c r="C80" s="16">
        <v>39</v>
      </c>
      <c r="D80" s="16" t="s">
        <v>109</v>
      </c>
      <c r="E80" s="16" t="s">
        <v>124</v>
      </c>
      <c r="F80" s="16" t="s">
        <v>120</v>
      </c>
      <c r="G80" s="16" t="s">
        <v>127</v>
      </c>
      <c r="H80" s="28">
        <v>21.95</v>
      </c>
      <c r="I80" s="16">
        <v>2</v>
      </c>
      <c r="J80" s="28">
        <v>43.9</v>
      </c>
    </row>
    <row r="81" spans="2:10" x14ac:dyDescent="0.3">
      <c r="B81" s="29">
        <v>40496</v>
      </c>
      <c r="C81" s="16">
        <v>64</v>
      </c>
      <c r="D81" s="16" t="s">
        <v>119</v>
      </c>
      <c r="E81" s="16" t="s">
        <v>123</v>
      </c>
      <c r="F81" s="16" t="s">
        <v>120</v>
      </c>
      <c r="G81" s="16" t="s">
        <v>117</v>
      </c>
      <c r="H81" s="28">
        <v>21.95</v>
      </c>
      <c r="I81" s="16">
        <v>2</v>
      </c>
      <c r="J81" s="28">
        <v>43.9</v>
      </c>
    </row>
    <row r="82" spans="2:10" x14ac:dyDescent="0.3">
      <c r="B82" s="29">
        <v>40280</v>
      </c>
      <c r="C82" s="16">
        <v>41</v>
      </c>
      <c r="D82" s="16" t="s">
        <v>109</v>
      </c>
      <c r="E82" s="16" t="s">
        <v>122</v>
      </c>
      <c r="F82" s="16" t="s">
        <v>120</v>
      </c>
      <c r="G82" s="16" t="s">
        <v>117</v>
      </c>
      <c r="H82" s="28">
        <v>21.95</v>
      </c>
      <c r="I82" s="16">
        <v>2</v>
      </c>
      <c r="J82" s="28">
        <v>43.9</v>
      </c>
    </row>
    <row r="83" spans="2:10" x14ac:dyDescent="0.3">
      <c r="B83" s="29">
        <v>40304</v>
      </c>
      <c r="C83" s="16">
        <v>38</v>
      </c>
      <c r="D83" s="16" t="s">
        <v>119</v>
      </c>
      <c r="E83" s="16" t="s">
        <v>115</v>
      </c>
      <c r="F83" s="16" t="s">
        <v>120</v>
      </c>
      <c r="G83" s="16" t="s">
        <v>121</v>
      </c>
      <c r="H83" s="28">
        <v>21.95</v>
      </c>
      <c r="I83" s="16">
        <v>2</v>
      </c>
      <c r="J83" s="28">
        <v>43.9</v>
      </c>
    </row>
    <row r="84" spans="2:10" x14ac:dyDescent="0.3">
      <c r="B84" s="29">
        <v>40435</v>
      </c>
      <c r="C84" s="16">
        <v>48</v>
      </c>
      <c r="D84" s="16" t="s">
        <v>109</v>
      </c>
      <c r="E84" s="16" t="s">
        <v>123</v>
      </c>
      <c r="F84" s="16" t="s">
        <v>120</v>
      </c>
      <c r="G84" s="16" t="s">
        <v>117</v>
      </c>
      <c r="H84" s="28">
        <v>21.95</v>
      </c>
      <c r="I84" s="16">
        <v>2</v>
      </c>
      <c r="J84" s="28">
        <v>43.9</v>
      </c>
    </row>
    <row r="85" spans="2:10" x14ac:dyDescent="0.3">
      <c r="B85" s="29">
        <v>40299</v>
      </c>
      <c r="C85" s="16">
        <v>25</v>
      </c>
      <c r="D85" s="16" t="s">
        <v>109</v>
      </c>
      <c r="E85" s="16" t="s">
        <v>124</v>
      </c>
      <c r="F85" s="16" t="s">
        <v>120</v>
      </c>
      <c r="G85" s="16" t="s">
        <v>117</v>
      </c>
      <c r="H85" s="28">
        <v>21.95</v>
      </c>
      <c r="I85" s="16">
        <v>2</v>
      </c>
      <c r="J85" s="28">
        <v>43.9</v>
      </c>
    </row>
    <row r="86" spans="2:10" x14ac:dyDescent="0.3">
      <c r="B86" s="29">
        <v>40246</v>
      </c>
      <c r="C86" s="16">
        <v>62</v>
      </c>
      <c r="D86" s="16" t="s">
        <v>109</v>
      </c>
      <c r="E86" s="16" t="s">
        <v>124</v>
      </c>
      <c r="F86" s="16" t="s">
        <v>120</v>
      </c>
      <c r="G86" s="16" t="s">
        <v>117</v>
      </c>
      <c r="H86" s="28">
        <v>21.95</v>
      </c>
      <c r="I86" s="16">
        <v>2</v>
      </c>
      <c r="J86" s="28">
        <v>43.9</v>
      </c>
    </row>
    <row r="87" spans="2:10" x14ac:dyDescent="0.3">
      <c r="B87" s="29">
        <v>40509</v>
      </c>
      <c r="C87" s="16">
        <v>22</v>
      </c>
      <c r="D87" s="16" t="s">
        <v>119</v>
      </c>
      <c r="E87" s="16" t="s">
        <v>124</v>
      </c>
      <c r="F87" s="16" t="s">
        <v>120</v>
      </c>
      <c r="G87" s="16" t="s">
        <v>117</v>
      </c>
      <c r="H87" s="28">
        <v>21.95</v>
      </c>
      <c r="I87" s="16">
        <v>2</v>
      </c>
      <c r="J87" s="28">
        <v>43.9</v>
      </c>
    </row>
    <row r="88" spans="2:10" x14ac:dyDescent="0.3">
      <c r="B88" s="29">
        <v>40500</v>
      </c>
      <c r="C88" s="16">
        <v>30</v>
      </c>
      <c r="D88" s="16" t="s">
        <v>109</v>
      </c>
      <c r="E88" s="16" t="s">
        <v>124</v>
      </c>
      <c r="F88" s="16" t="s">
        <v>120</v>
      </c>
      <c r="G88" s="16" t="s">
        <v>127</v>
      </c>
      <c r="H88" s="28">
        <v>21.95</v>
      </c>
      <c r="I88" s="16">
        <v>2</v>
      </c>
      <c r="J88" s="28">
        <v>43.9</v>
      </c>
    </row>
    <row r="89" spans="2:10" x14ac:dyDescent="0.3">
      <c r="B89" s="29">
        <v>40479</v>
      </c>
      <c r="C89" s="16">
        <v>55</v>
      </c>
      <c r="D89" s="16" t="s">
        <v>109</v>
      </c>
      <c r="E89" s="16" t="s">
        <v>124</v>
      </c>
      <c r="F89" s="16" t="s">
        <v>120</v>
      </c>
      <c r="G89" s="16" t="s">
        <v>117</v>
      </c>
      <c r="H89" s="28">
        <v>21.95</v>
      </c>
      <c r="I89" s="16">
        <v>2</v>
      </c>
      <c r="J89" s="28">
        <v>43.9</v>
      </c>
    </row>
    <row r="90" spans="2:10" x14ac:dyDescent="0.3">
      <c r="B90" s="29">
        <v>40320</v>
      </c>
      <c r="C90" s="16">
        <v>21</v>
      </c>
      <c r="D90" s="16" t="s">
        <v>109</v>
      </c>
      <c r="E90" s="16" t="s">
        <v>115</v>
      </c>
      <c r="F90" s="16" t="s">
        <v>116</v>
      </c>
      <c r="G90" s="16" t="s">
        <v>117</v>
      </c>
      <c r="H90" s="28">
        <v>22.95</v>
      </c>
      <c r="I90" s="16">
        <v>2</v>
      </c>
      <c r="J90" s="28">
        <v>45.9</v>
      </c>
    </row>
    <row r="91" spans="2:10" x14ac:dyDescent="0.3">
      <c r="B91" s="29">
        <v>40259</v>
      </c>
      <c r="C91" s="16">
        <v>28</v>
      </c>
      <c r="D91" s="16" t="s">
        <v>109</v>
      </c>
      <c r="E91" s="16" t="s">
        <v>123</v>
      </c>
      <c r="F91" s="16" t="s">
        <v>116</v>
      </c>
      <c r="G91" s="16" t="s">
        <v>121</v>
      </c>
      <c r="H91" s="28">
        <v>22.95</v>
      </c>
      <c r="I91" s="16">
        <v>2</v>
      </c>
      <c r="J91" s="28">
        <v>45.9</v>
      </c>
    </row>
    <row r="92" spans="2:10" x14ac:dyDescent="0.3">
      <c r="B92" s="29">
        <v>40506</v>
      </c>
      <c r="C92" s="16">
        <v>51</v>
      </c>
      <c r="D92" s="16" t="s">
        <v>119</v>
      </c>
      <c r="E92" s="16" t="s">
        <v>123</v>
      </c>
      <c r="F92" s="16" t="s">
        <v>116</v>
      </c>
      <c r="G92" s="16" t="s">
        <v>117</v>
      </c>
      <c r="H92" s="28">
        <v>22.95</v>
      </c>
      <c r="I92" s="16">
        <v>2</v>
      </c>
      <c r="J92" s="28">
        <v>45.9</v>
      </c>
    </row>
    <row r="93" spans="2:10" x14ac:dyDescent="0.3">
      <c r="B93" s="29">
        <v>40269</v>
      </c>
      <c r="C93" s="16">
        <v>27</v>
      </c>
      <c r="D93" s="16" t="s">
        <v>119</v>
      </c>
      <c r="E93" s="16" t="s">
        <v>115</v>
      </c>
      <c r="F93" s="16" t="s">
        <v>116</v>
      </c>
      <c r="G93" s="16" t="s">
        <v>127</v>
      </c>
      <c r="H93" s="28">
        <v>22.95</v>
      </c>
      <c r="I93" s="16">
        <v>2</v>
      </c>
      <c r="J93" s="28">
        <v>45.9</v>
      </c>
    </row>
    <row r="94" spans="2:10" x14ac:dyDescent="0.3">
      <c r="B94" s="29">
        <v>40185</v>
      </c>
      <c r="C94" s="16">
        <v>28</v>
      </c>
      <c r="D94" s="16" t="s">
        <v>119</v>
      </c>
      <c r="E94" s="16" t="s">
        <v>124</v>
      </c>
      <c r="F94" s="16" t="s">
        <v>116</v>
      </c>
      <c r="G94" s="16" t="s">
        <v>117</v>
      </c>
      <c r="H94" s="28">
        <v>22.95</v>
      </c>
      <c r="I94" s="16">
        <v>2</v>
      </c>
      <c r="J94" s="28">
        <v>45.9</v>
      </c>
    </row>
    <row r="95" spans="2:10" x14ac:dyDescent="0.3">
      <c r="B95" s="29">
        <v>40298</v>
      </c>
      <c r="C95" s="16">
        <v>34</v>
      </c>
      <c r="D95" s="16" t="s">
        <v>109</v>
      </c>
      <c r="E95" s="16" t="s">
        <v>124</v>
      </c>
      <c r="F95" s="16" t="s">
        <v>116</v>
      </c>
      <c r="G95" s="16" t="s">
        <v>127</v>
      </c>
      <c r="H95" s="28">
        <v>22.95</v>
      </c>
      <c r="I95" s="16">
        <v>2</v>
      </c>
      <c r="J95" s="28">
        <v>45.9</v>
      </c>
    </row>
    <row r="96" spans="2:10" x14ac:dyDescent="0.3">
      <c r="B96" s="29">
        <v>40247</v>
      </c>
      <c r="C96" s="16">
        <v>22</v>
      </c>
      <c r="D96" s="16" t="s">
        <v>109</v>
      </c>
      <c r="E96" s="16" t="s">
        <v>123</v>
      </c>
      <c r="F96" s="16" t="s">
        <v>116</v>
      </c>
      <c r="G96" s="16" t="s">
        <v>117</v>
      </c>
      <c r="H96" s="28">
        <v>22.95</v>
      </c>
      <c r="I96" s="16">
        <v>2</v>
      </c>
      <c r="J96" s="28">
        <v>45.9</v>
      </c>
    </row>
    <row r="97" spans="2:10" x14ac:dyDescent="0.3">
      <c r="B97" s="31">
        <v>40362</v>
      </c>
      <c r="C97" s="16">
        <v>25</v>
      </c>
      <c r="D97" s="16" t="s">
        <v>119</v>
      </c>
      <c r="E97" s="16" t="s">
        <v>123</v>
      </c>
      <c r="F97" s="16" t="s">
        <v>128</v>
      </c>
      <c r="G97" s="16" t="s">
        <v>127</v>
      </c>
      <c r="H97" s="28">
        <v>24.95</v>
      </c>
      <c r="I97" s="16">
        <v>2</v>
      </c>
      <c r="J97" s="28">
        <v>49.9</v>
      </c>
    </row>
    <row r="98" spans="2:10" x14ac:dyDescent="0.3">
      <c r="B98" s="29">
        <v>40301</v>
      </c>
      <c r="C98" s="16">
        <v>61</v>
      </c>
      <c r="D98" s="16" t="s">
        <v>119</v>
      </c>
      <c r="E98" s="16" t="s">
        <v>123</v>
      </c>
      <c r="F98" s="16" t="s">
        <v>128</v>
      </c>
      <c r="G98" s="16" t="s">
        <v>127</v>
      </c>
      <c r="H98" s="28">
        <v>24.95</v>
      </c>
      <c r="I98" s="16">
        <v>2</v>
      </c>
      <c r="J98" s="28">
        <v>49.9</v>
      </c>
    </row>
    <row r="99" spans="2:10" x14ac:dyDescent="0.3">
      <c r="B99" s="29">
        <v>40303</v>
      </c>
      <c r="C99" s="16">
        <v>24</v>
      </c>
      <c r="D99" s="16" t="s">
        <v>119</v>
      </c>
      <c r="E99" s="16" t="s">
        <v>123</v>
      </c>
      <c r="F99" s="16" t="s">
        <v>130</v>
      </c>
      <c r="G99" s="16" t="s">
        <v>127</v>
      </c>
      <c r="H99" s="28">
        <v>24.95</v>
      </c>
      <c r="I99" s="16">
        <v>2</v>
      </c>
      <c r="J99" s="28">
        <v>49.9</v>
      </c>
    </row>
    <row r="100" spans="2:10" x14ac:dyDescent="0.3">
      <c r="B100" s="29">
        <v>40451</v>
      </c>
      <c r="C100" s="16">
        <v>27</v>
      </c>
      <c r="D100" s="16" t="s">
        <v>109</v>
      </c>
      <c r="E100" s="16" t="s">
        <v>123</v>
      </c>
      <c r="F100" s="16" t="s">
        <v>130</v>
      </c>
      <c r="G100" s="16" t="s">
        <v>127</v>
      </c>
      <c r="H100" s="28">
        <v>24.95</v>
      </c>
      <c r="I100" s="16">
        <v>2</v>
      </c>
      <c r="J100" s="28">
        <v>49.9</v>
      </c>
    </row>
    <row r="101" spans="2:10" x14ac:dyDescent="0.3">
      <c r="B101" s="29">
        <v>40459</v>
      </c>
      <c r="C101" s="16">
        <v>24</v>
      </c>
      <c r="D101" s="16" t="s">
        <v>109</v>
      </c>
      <c r="E101" s="16" t="s">
        <v>124</v>
      </c>
      <c r="F101" s="16" t="s">
        <v>130</v>
      </c>
      <c r="G101" s="16" t="s">
        <v>127</v>
      </c>
      <c r="H101" s="28">
        <v>24.95</v>
      </c>
      <c r="I101" s="16">
        <v>2</v>
      </c>
      <c r="J101" s="28">
        <v>49.9</v>
      </c>
    </row>
    <row r="102" spans="2:10" x14ac:dyDescent="0.3">
      <c r="B102" s="29">
        <v>40259</v>
      </c>
      <c r="C102" s="16">
        <v>18</v>
      </c>
      <c r="D102" s="16" t="s">
        <v>109</v>
      </c>
      <c r="E102" s="16" t="s">
        <v>123</v>
      </c>
      <c r="F102" s="16" t="s">
        <v>118</v>
      </c>
      <c r="G102" s="16" t="s">
        <v>117</v>
      </c>
      <c r="H102" s="28">
        <v>19.95</v>
      </c>
      <c r="I102" s="16">
        <v>3</v>
      </c>
      <c r="J102" s="28">
        <v>59.849999999999994</v>
      </c>
    </row>
    <row r="103" spans="2:10" x14ac:dyDescent="0.3">
      <c r="B103" s="29">
        <v>40407</v>
      </c>
      <c r="C103" s="16">
        <v>35</v>
      </c>
      <c r="D103" s="16" t="s">
        <v>119</v>
      </c>
      <c r="E103" s="16" t="s">
        <v>124</v>
      </c>
      <c r="F103" s="16" t="s">
        <v>118</v>
      </c>
      <c r="G103" s="16" t="s">
        <v>127</v>
      </c>
      <c r="H103" s="28">
        <v>19.95</v>
      </c>
      <c r="I103" s="16">
        <v>3</v>
      </c>
      <c r="J103" s="28">
        <v>59.849999999999994</v>
      </c>
    </row>
    <row r="104" spans="2:10" x14ac:dyDescent="0.3">
      <c r="B104" s="29">
        <v>40259</v>
      </c>
      <c r="C104" s="16">
        <v>59</v>
      </c>
      <c r="D104" s="16" t="s">
        <v>119</v>
      </c>
      <c r="E104" s="16" t="s">
        <v>123</v>
      </c>
      <c r="F104" s="16" t="s">
        <v>118</v>
      </c>
      <c r="G104" s="16" t="s">
        <v>125</v>
      </c>
      <c r="H104" s="28">
        <v>19.95</v>
      </c>
      <c r="I104" s="16">
        <v>3</v>
      </c>
      <c r="J104" s="28">
        <v>59.849999999999994</v>
      </c>
    </row>
    <row r="105" spans="2:10" x14ac:dyDescent="0.3">
      <c r="B105" s="29">
        <v>40351</v>
      </c>
      <c r="C105" s="16">
        <v>20</v>
      </c>
      <c r="D105" s="16" t="s">
        <v>119</v>
      </c>
      <c r="E105" s="16" t="s">
        <v>123</v>
      </c>
      <c r="F105" s="16" t="s">
        <v>118</v>
      </c>
      <c r="G105" s="16" t="s">
        <v>121</v>
      </c>
      <c r="H105" s="28">
        <v>19.95</v>
      </c>
      <c r="I105" s="16">
        <v>3</v>
      </c>
      <c r="J105" s="28">
        <v>59.849999999999994</v>
      </c>
    </row>
    <row r="106" spans="2:10" x14ac:dyDescent="0.3">
      <c r="B106" s="29">
        <v>40394</v>
      </c>
      <c r="C106" s="16">
        <v>22</v>
      </c>
      <c r="D106" s="16" t="s">
        <v>119</v>
      </c>
      <c r="E106" s="16" t="s">
        <v>123</v>
      </c>
      <c r="F106" s="16" t="s">
        <v>118</v>
      </c>
      <c r="G106" s="16" t="s">
        <v>117</v>
      </c>
      <c r="H106" s="28">
        <v>19.95</v>
      </c>
      <c r="I106" s="16">
        <v>3</v>
      </c>
      <c r="J106" s="28">
        <v>59.849999999999994</v>
      </c>
    </row>
    <row r="107" spans="2:10" x14ac:dyDescent="0.3">
      <c r="B107" s="29">
        <v>40327</v>
      </c>
      <c r="C107" s="16">
        <v>65</v>
      </c>
      <c r="D107" s="16" t="s">
        <v>119</v>
      </c>
      <c r="E107" s="16" t="s">
        <v>124</v>
      </c>
      <c r="F107" s="16" t="s">
        <v>129</v>
      </c>
      <c r="G107" s="16" t="s">
        <v>127</v>
      </c>
      <c r="H107" s="28">
        <v>29.95</v>
      </c>
      <c r="I107" s="16">
        <v>2</v>
      </c>
      <c r="J107" s="28">
        <v>59.9</v>
      </c>
    </row>
    <row r="108" spans="2:10" x14ac:dyDescent="0.3">
      <c r="B108" s="29">
        <v>40361</v>
      </c>
      <c r="C108" s="16">
        <v>41</v>
      </c>
      <c r="D108" s="16" t="s">
        <v>119</v>
      </c>
      <c r="E108" s="16" t="s">
        <v>123</v>
      </c>
      <c r="F108" s="16" t="s">
        <v>129</v>
      </c>
      <c r="G108" s="16" t="s">
        <v>117</v>
      </c>
      <c r="H108" s="28">
        <v>29.95</v>
      </c>
      <c r="I108" s="16">
        <v>2</v>
      </c>
      <c r="J108" s="28">
        <v>59.9</v>
      </c>
    </row>
    <row r="109" spans="2:10" x14ac:dyDescent="0.3">
      <c r="B109" s="31">
        <v>40282</v>
      </c>
      <c r="C109" s="16">
        <v>59</v>
      </c>
      <c r="D109" s="16" t="s">
        <v>119</v>
      </c>
      <c r="E109" s="16" t="s">
        <v>124</v>
      </c>
      <c r="F109" s="16" t="s">
        <v>120</v>
      </c>
      <c r="G109" s="16" t="s">
        <v>127</v>
      </c>
      <c r="H109" s="28">
        <v>21.95</v>
      </c>
      <c r="I109" s="16">
        <v>3</v>
      </c>
      <c r="J109" s="28">
        <v>65.849999999999994</v>
      </c>
    </row>
    <row r="110" spans="2:10" x14ac:dyDescent="0.3">
      <c r="B110" s="29">
        <v>40275</v>
      </c>
      <c r="C110" s="16">
        <v>21</v>
      </c>
      <c r="D110" s="16" t="s">
        <v>119</v>
      </c>
      <c r="E110" s="16" t="s">
        <v>123</v>
      </c>
      <c r="F110" s="16" t="s">
        <v>120</v>
      </c>
      <c r="G110" s="16" t="s">
        <v>121</v>
      </c>
      <c r="H110" s="28">
        <v>21.95</v>
      </c>
      <c r="I110" s="16">
        <v>3</v>
      </c>
      <c r="J110" s="28">
        <v>65.849999999999994</v>
      </c>
    </row>
    <row r="111" spans="2:10" x14ac:dyDescent="0.3">
      <c r="B111" s="29">
        <v>40199</v>
      </c>
      <c r="C111" s="16">
        <v>30</v>
      </c>
      <c r="D111" s="16" t="s">
        <v>119</v>
      </c>
      <c r="E111" s="16" t="s">
        <v>124</v>
      </c>
      <c r="F111" s="16" t="s">
        <v>120</v>
      </c>
      <c r="G111" s="16" t="s">
        <v>117</v>
      </c>
      <c r="H111" s="28">
        <v>21.95</v>
      </c>
      <c r="I111" s="16">
        <v>3</v>
      </c>
      <c r="J111" s="28">
        <v>65.849999999999994</v>
      </c>
    </row>
    <row r="112" spans="2:10" x14ac:dyDescent="0.3">
      <c r="B112" s="29">
        <v>40428</v>
      </c>
      <c r="C112" s="16">
        <v>18</v>
      </c>
      <c r="D112" s="16" t="s">
        <v>119</v>
      </c>
      <c r="E112" s="16" t="s">
        <v>124</v>
      </c>
      <c r="F112" s="16" t="s">
        <v>120</v>
      </c>
      <c r="G112" s="16" t="s">
        <v>117</v>
      </c>
      <c r="H112" s="28">
        <v>21.95</v>
      </c>
      <c r="I112" s="16">
        <v>3</v>
      </c>
      <c r="J112" s="28">
        <v>65.849999999999994</v>
      </c>
    </row>
    <row r="113" spans="2:10" x14ac:dyDescent="0.3">
      <c r="B113" s="29">
        <v>40284</v>
      </c>
      <c r="C113" s="16">
        <v>26</v>
      </c>
      <c r="D113" s="16" t="s">
        <v>119</v>
      </c>
      <c r="E113" s="16" t="s">
        <v>126</v>
      </c>
      <c r="F113" s="16" t="s">
        <v>120</v>
      </c>
      <c r="G113" s="16" t="s">
        <v>117</v>
      </c>
      <c r="H113" s="28">
        <v>21.95</v>
      </c>
      <c r="I113" s="16">
        <v>3</v>
      </c>
      <c r="J113" s="28">
        <v>65.849999999999994</v>
      </c>
    </row>
    <row r="114" spans="2:10" x14ac:dyDescent="0.3">
      <c r="B114" s="29">
        <v>40491</v>
      </c>
      <c r="C114" s="16">
        <v>59</v>
      </c>
      <c r="D114" s="16" t="s">
        <v>119</v>
      </c>
      <c r="E114" s="16" t="s">
        <v>124</v>
      </c>
      <c r="F114" s="16" t="s">
        <v>120</v>
      </c>
      <c r="G114" s="16" t="s">
        <v>127</v>
      </c>
      <c r="H114" s="28">
        <v>21.95</v>
      </c>
      <c r="I114" s="16">
        <v>3</v>
      </c>
      <c r="J114" s="28">
        <v>65.849999999999994</v>
      </c>
    </row>
    <row r="115" spans="2:10" x14ac:dyDescent="0.3">
      <c r="B115" s="29">
        <v>40416</v>
      </c>
      <c r="C115" s="16">
        <v>21</v>
      </c>
      <c r="D115" s="16" t="s">
        <v>109</v>
      </c>
      <c r="E115" s="16" t="s">
        <v>115</v>
      </c>
      <c r="F115" s="16" t="s">
        <v>120</v>
      </c>
      <c r="G115" s="16" t="s">
        <v>125</v>
      </c>
      <c r="H115" s="28">
        <v>21.95</v>
      </c>
      <c r="I115" s="16">
        <v>3</v>
      </c>
      <c r="J115" s="28">
        <v>65.849999999999994</v>
      </c>
    </row>
    <row r="116" spans="2:10" x14ac:dyDescent="0.3">
      <c r="B116" s="29">
        <v>40447</v>
      </c>
      <c r="C116" s="16">
        <v>37</v>
      </c>
      <c r="D116" s="16" t="s">
        <v>119</v>
      </c>
      <c r="E116" s="16" t="s">
        <v>115</v>
      </c>
      <c r="F116" s="16" t="s">
        <v>120</v>
      </c>
      <c r="G116" s="16" t="s">
        <v>125</v>
      </c>
      <c r="H116" s="28">
        <v>21.95</v>
      </c>
      <c r="I116" s="16">
        <v>3</v>
      </c>
      <c r="J116" s="28">
        <v>65.849999999999994</v>
      </c>
    </row>
    <row r="117" spans="2:10" x14ac:dyDescent="0.3">
      <c r="B117" s="29">
        <v>40297</v>
      </c>
      <c r="C117" s="16">
        <v>61</v>
      </c>
      <c r="D117" s="16" t="s">
        <v>119</v>
      </c>
      <c r="E117" s="16" t="s">
        <v>124</v>
      </c>
      <c r="F117" s="16" t="s">
        <v>120</v>
      </c>
      <c r="G117" s="16" t="s">
        <v>117</v>
      </c>
      <c r="H117" s="28">
        <v>21.95</v>
      </c>
      <c r="I117" s="16">
        <v>3</v>
      </c>
      <c r="J117" s="28">
        <v>65.849999999999994</v>
      </c>
    </row>
    <row r="118" spans="2:10" x14ac:dyDescent="0.3">
      <c r="B118" s="29">
        <v>40202</v>
      </c>
      <c r="C118" s="16">
        <v>39</v>
      </c>
      <c r="D118" s="16" t="s">
        <v>109</v>
      </c>
      <c r="E118" s="16" t="s">
        <v>115</v>
      </c>
      <c r="F118" s="16" t="s">
        <v>120</v>
      </c>
      <c r="G118" s="16" t="s">
        <v>127</v>
      </c>
      <c r="H118" s="28">
        <v>21.95</v>
      </c>
      <c r="I118" s="16">
        <v>3</v>
      </c>
      <c r="J118" s="28">
        <v>65.849999999999994</v>
      </c>
    </row>
    <row r="119" spans="2:10" x14ac:dyDescent="0.3">
      <c r="B119" s="29">
        <v>40253</v>
      </c>
      <c r="C119" s="16">
        <v>24</v>
      </c>
      <c r="D119" s="16" t="s">
        <v>109</v>
      </c>
      <c r="E119" s="16" t="s">
        <v>122</v>
      </c>
      <c r="F119" s="16" t="s">
        <v>120</v>
      </c>
      <c r="G119" s="16" t="s">
        <v>117</v>
      </c>
      <c r="H119" s="28">
        <v>21.95</v>
      </c>
      <c r="I119" s="16">
        <v>3</v>
      </c>
      <c r="J119" s="28">
        <v>65.849999999999994</v>
      </c>
    </row>
    <row r="120" spans="2:10" x14ac:dyDescent="0.3">
      <c r="B120" s="29">
        <v>40334</v>
      </c>
      <c r="C120" s="16">
        <v>20</v>
      </c>
      <c r="D120" s="16" t="s">
        <v>119</v>
      </c>
      <c r="E120" s="16" t="s">
        <v>115</v>
      </c>
      <c r="F120" s="16" t="s">
        <v>120</v>
      </c>
      <c r="G120" s="16" t="s">
        <v>117</v>
      </c>
      <c r="H120" s="28">
        <v>21.95</v>
      </c>
      <c r="I120" s="16">
        <v>3</v>
      </c>
      <c r="J120" s="28">
        <v>65.849999999999994</v>
      </c>
    </row>
    <row r="121" spans="2:10" x14ac:dyDescent="0.3">
      <c r="B121" s="29">
        <v>40239</v>
      </c>
      <c r="C121" s="16">
        <v>43</v>
      </c>
      <c r="D121" s="16" t="s">
        <v>119</v>
      </c>
      <c r="E121" s="16" t="s">
        <v>123</v>
      </c>
      <c r="F121" s="16" t="s">
        <v>116</v>
      </c>
      <c r="G121" s="16" t="s">
        <v>121</v>
      </c>
      <c r="H121" s="28">
        <v>22.95</v>
      </c>
      <c r="I121" s="16">
        <v>3</v>
      </c>
      <c r="J121" s="28">
        <v>68.849999999999994</v>
      </c>
    </row>
    <row r="122" spans="2:10" x14ac:dyDescent="0.3">
      <c r="B122" s="29">
        <v>40408</v>
      </c>
      <c r="C122" s="16">
        <v>41</v>
      </c>
      <c r="D122" s="16" t="s">
        <v>119</v>
      </c>
      <c r="E122" s="16" t="s">
        <v>126</v>
      </c>
      <c r="F122" s="16" t="s">
        <v>128</v>
      </c>
      <c r="G122" s="16" t="s">
        <v>117</v>
      </c>
      <c r="H122" s="28">
        <v>24.95</v>
      </c>
      <c r="I122" s="16">
        <v>3</v>
      </c>
      <c r="J122" s="28">
        <v>74.849999999999994</v>
      </c>
    </row>
    <row r="123" spans="2:10" x14ac:dyDescent="0.3">
      <c r="B123" s="29">
        <v>40486</v>
      </c>
      <c r="C123" s="16">
        <v>27</v>
      </c>
      <c r="D123" s="16" t="s">
        <v>119</v>
      </c>
      <c r="E123" s="16" t="s">
        <v>122</v>
      </c>
      <c r="F123" s="16" t="s">
        <v>128</v>
      </c>
      <c r="G123" s="16" t="s">
        <v>117</v>
      </c>
      <c r="H123" s="28">
        <v>24.95</v>
      </c>
      <c r="I123" s="16">
        <v>3</v>
      </c>
      <c r="J123" s="28">
        <v>74.849999999999994</v>
      </c>
    </row>
    <row r="124" spans="2:10" x14ac:dyDescent="0.3">
      <c r="B124" s="31">
        <v>40328</v>
      </c>
      <c r="C124" s="16">
        <v>22</v>
      </c>
      <c r="D124" s="16" t="s">
        <v>109</v>
      </c>
      <c r="E124" s="16" t="s">
        <v>123</v>
      </c>
      <c r="F124" s="16" t="s">
        <v>118</v>
      </c>
      <c r="G124" s="16" t="s">
        <v>117</v>
      </c>
      <c r="H124" s="28">
        <v>19.95</v>
      </c>
      <c r="I124" s="16">
        <v>4</v>
      </c>
      <c r="J124" s="28">
        <v>79.8</v>
      </c>
    </row>
    <row r="125" spans="2:10" x14ac:dyDescent="0.3">
      <c r="B125" s="29">
        <v>40456</v>
      </c>
      <c r="C125" s="16">
        <v>29</v>
      </c>
      <c r="D125" s="16" t="s">
        <v>109</v>
      </c>
      <c r="E125" s="16" t="s">
        <v>124</v>
      </c>
      <c r="F125" s="16" t="s">
        <v>118</v>
      </c>
      <c r="G125" s="16" t="s">
        <v>125</v>
      </c>
      <c r="H125" s="28">
        <v>19.95</v>
      </c>
      <c r="I125" s="16">
        <v>4</v>
      </c>
      <c r="J125" s="28">
        <v>79.8</v>
      </c>
    </row>
    <row r="126" spans="2:10" x14ac:dyDescent="0.3">
      <c r="B126" s="29">
        <v>40408</v>
      </c>
      <c r="C126" s="16">
        <v>25</v>
      </c>
      <c r="D126" s="16" t="s">
        <v>119</v>
      </c>
      <c r="E126" s="16" t="s">
        <v>123</v>
      </c>
      <c r="F126" s="16" t="s">
        <v>118</v>
      </c>
      <c r="G126" s="16" t="s">
        <v>127</v>
      </c>
      <c r="H126" s="28">
        <v>19.95</v>
      </c>
      <c r="I126" s="16">
        <v>4</v>
      </c>
      <c r="J126" s="28">
        <v>79.8</v>
      </c>
    </row>
    <row r="127" spans="2:10" x14ac:dyDescent="0.3">
      <c r="B127" s="29">
        <v>40484</v>
      </c>
      <c r="C127" s="16">
        <v>59</v>
      </c>
      <c r="D127" s="16" t="s">
        <v>109</v>
      </c>
      <c r="E127" s="16" t="s">
        <v>115</v>
      </c>
      <c r="F127" s="16" t="s">
        <v>118</v>
      </c>
      <c r="G127" s="16" t="s">
        <v>125</v>
      </c>
      <c r="H127" s="28">
        <v>19.95</v>
      </c>
      <c r="I127" s="16">
        <v>4</v>
      </c>
      <c r="J127" s="28">
        <v>79.8</v>
      </c>
    </row>
    <row r="128" spans="2:10" x14ac:dyDescent="0.3">
      <c r="B128" s="29">
        <v>40527</v>
      </c>
      <c r="C128" s="16">
        <v>44</v>
      </c>
      <c r="D128" s="16" t="s">
        <v>119</v>
      </c>
      <c r="E128" s="16" t="s">
        <v>115</v>
      </c>
      <c r="F128" s="16" t="s">
        <v>118</v>
      </c>
      <c r="G128" s="16" t="s">
        <v>125</v>
      </c>
      <c r="H128" s="28">
        <v>19.95</v>
      </c>
      <c r="I128" s="16">
        <v>4</v>
      </c>
      <c r="J128" s="28">
        <v>79.8</v>
      </c>
    </row>
    <row r="129" spans="2:10" x14ac:dyDescent="0.3">
      <c r="B129" s="29">
        <v>40292</v>
      </c>
      <c r="C129" s="16">
        <v>29</v>
      </c>
      <c r="D129" s="16" t="s">
        <v>119</v>
      </c>
      <c r="E129" s="16" t="s">
        <v>115</v>
      </c>
      <c r="F129" s="16" t="s">
        <v>118</v>
      </c>
      <c r="G129" s="16" t="s">
        <v>117</v>
      </c>
      <c r="H129" s="28">
        <v>19.95</v>
      </c>
      <c r="I129" s="16">
        <v>4</v>
      </c>
      <c r="J129" s="28">
        <v>79.8</v>
      </c>
    </row>
    <row r="130" spans="2:10" x14ac:dyDescent="0.3">
      <c r="B130" s="29">
        <v>40208</v>
      </c>
      <c r="C130" s="16">
        <v>20</v>
      </c>
      <c r="D130" s="16" t="s">
        <v>119</v>
      </c>
      <c r="E130" s="16" t="s">
        <v>124</v>
      </c>
      <c r="F130" s="16" t="s">
        <v>120</v>
      </c>
      <c r="G130" s="16" t="s">
        <v>121</v>
      </c>
      <c r="H130" s="28">
        <v>21.95</v>
      </c>
      <c r="I130" s="16">
        <v>4</v>
      </c>
      <c r="J130" s="28">
        <v>87.8</v>
      </c>
    </row>
    <row r="131" spans="2:10" x14ac:dyDescent="0.3">
      <c r="B131" s="29">
        <v>40180</v>
      </c>
      <c r="C131" s="16">
        <v>18</v>
      </c>
      <c r="D131" s="16" t="s">
        <v>119</v>
      </c>
      <c r="E131" s="16" t="s">
        <v>123</v>
      </c>
      <c r="F131" s="16" t="s">
        <v>120</v>
      </c>
      <c r="G131" s="16" t="s">
        <v>117</v>
      </c>
      <c r="H131" s="28">
        <v>21.95</v>
      </c>
      <c r="I131" s="16">
        <v>4</v>
      </c>
      <c r="J131" s="28">
        <v>87.8</v>
      </c>
    </row>
    <row r="132" spans="2:10" x14ac:dyDescent="0.3">
      <c r="B132" s="29">
        <v>40525</v>
      </c>
      <c r="C132" s="16">
        <v>19</v>
      </c>
      <c r="D132" s="16" t="s">
        <v>119</v>
      </c>
      <c r="E132" s="16" t="s">
        <v>123</v>
      </c>
      <c r="F132" s="16" t="s">
        <v>120</v>
      </c>
      <c r="G132" s="16" t="s">
        <v>121</v>
      </c>
      <c r="H132" s="28">
        <v>21.95</v>
      </c>
      <c r="I132" s="16">
        <v>4</v>
      </c>
      <c r="J132" s="28">
        <v>87.8</v>
      </c>
    </row>
    <row r="133" spans="2:10" x14ac:dyDescent="0.3">
      <c r="B133" s="29">
        <v>40446</v>
      </c>
      <c r="C133" s="16">
        <v>18</v>
      </c>
      <c r="D133" s="16" t="s">
        <v>119</v>
      </c>
      <c r="E133" s="16" t="s">
        <v>122</v>
      </c>
      <c r="F133" s="16" t="s">
        <v>129</v>
      </c>
      <c r="G133" s="16" t="s">
        <v>117</v>
      </c>
      <c r="H133" s="28">
        <v>29.95</v>
      </c>
      <c r="I133" s="16">
        <v>3</v>
      </c>
      <c r="J133" s="28">
        <v>89.85</v>
      </c>
    </row>
    <row r="134" spans="2:10" x14ac:dyDescent="0.3">
      <c r="B134" s="29">
        <v>40404</v>
      </c>
      <c r="C134" s="16">
        <v>42</v>
      </c>
      <c r="D134" s="16" t="s">
        <v>119</v>
      </c>
      <c r="E134" s="16" t="s">
        <v>124</v>
      </c>
      <c r="F134" s="16" t="s">
        <v>129</v>
      </c>
      <c r="G134" s="16" t="s">
        <v>117</v>
      </c>
      <c r="H134" s="28">
        <v>29.95</v>
      </c>
      <c r="I134" s="16">
        <v>3</v>
      </c>
      <c r="J134" s="28">
        <v>89.85</v>
      </c>
    </row>
    <row r="135" spans="2:10" x14ac:dyDescent="0.3">
      <c r="B135" s="29">
        <v>40440</v>
      </c>
      <c r="C135" s="16">
        <v>22</v>
      </c>
      <c r="D135" s="16" t="s">
        <v>119</v>
      </c>
      <c r="E135" s="16" t="s">
        <v>124</v>
      </c>
      <c r="F135" s="16" t="s">
        <v>116</v>
      </c>
      <c r="G135" s="16" t="s">
        <v>117</v>
      </c>
      <c r="H135" s="28">
        <v>22.95</v>
      </c>
      <c r="I135" s="16">
        <v>4</v>
      </c>
      <c r="J135" s="28">
        <v>91.8</v>
      </c>
    </row>
    <row r="136" spans="2:10" x14ac:dyDescent="0.3">
      <c r="B136" s="29">
        <v>40309</v>
      </c>
      <c r="C136" s="16">
        <v>26</v>
      </c>
      <c r="D136" s="16" t="s">
        <v>119</v>
      </c>
      <c r="E136" s="16" t="s">
        <v>126</v>
      </c>
      <c r="F136" s="16" t="s">
        <v>116</v>
      </c>
      <c r="G136" s="16" t="s">
        <v>117</v>
      </c>
      <c r="H136" s="28">
        <v>22.95</v>
      </c>
      <c r="I136" s="16">
        <v>4</v>
      </c>
      <c r="J136" s="28">
        <v>91.8</v>
      </c>
    </row>
    <row r="137" spans="2:10" x14ac:dyDescent="0.3">
      <c r="B137" s="29">
        <v>40182</v>
      </c>
      <c r="C137" s="16">
        <v>35</v>
      </c>
      <c r="D137" s="16" t="s">
        <v>119</v>
      </c>
      <c r="E137" s="16" t="s">
        <v>123</v>
      </c>
      <c r="F137" s="16" t="s">
        <v>116</v>
      </c>
      <c r="G137" s="16" t="s">
        <v>125</v>
      </c>
      <c r="H137" s="28">
        <v>22.95</v>
      </c>
      <c r="I137" s="16">
        <v>4</v>
      </c>
      <c r="J137" s="28">
        <v>91.8</v>
      </c>
    </row>
    <row r="138" spans="2:10" x14ac:dyDescent="0.3">
      <c r="B138" s="29">
        <v>40384</v>
      </c>
      <c r="C138" s="16">
        <v>22</v>
      </c>
      <c r="D138" s="16" t="s">
        <v>109</v>
      </c>
      <c r="E138" s="16" t="s">
        <v>115</v>
      </c>
      <c r="F138" s="16" t="s">
        <v>116</v>
      </c>
      <c r="G138" s="16" t="s">
        <v>117</v>
      </c>
      <c r="H138" s="28">
        <v>22.95</v>
      </c>
      <c r="I138" s="16">
        <v>4</v>
      </c>
      <c r="J138" s="28">
        <v>91.8</v>
      </c>
    </row>
    <row r="139" spans="2:10" x14ac:dyDescent="0.3">
      <c r="B139" s="31">
        <v>40338</v>
      </c>
      <c r="C139" s="16">
        <v>63</v>
      </c>
      <c r="D139" s="16" t="s">
        <v>109</v>
      </c>
      <c r="E139" s="16" t="s">
        <v>124</v>
      </c>
      <c r="F139" s="16" t="s">
        <v>118</v>
      </c>
      <c r="G139" s="16" t="s">
        <v>127</v>
      </c>
      <c r="H139" s="28">
        <v>19.95</v>
      </c>
      <c r="I139" s="16">
        <v>5</v>
      </c>
      <c r="J139" s="28">
        <v>99.75</v>
      </c>
    </row>
    <row r="140" spans="2:10" x14ac:dyDescent="0.3">
      <c r="B140" s="29">
        <v>40434</v>
      </c>
      <c r="C140" s="16">
        <v>61</v>
      </c>
      <c r="D140" s="16" t="s">
        <v>119</v>
      </c>
      <c r="E140" s="16" t="s">
        <v>115</v>
      </c>
      <c r="F140" s="16" t="s">
        <v>118</v>
      </c>
      <c r="G140" s="16" t="s">
        <v>127</v>
      </c>
      <c r="H140" s="28">
        <v>19.95</v>
      </c>
      <c r="I140" s="16">
        <v>5</v>
      </c>
      <c r="J140" s="28">
        <v>99.75</v>
      </c>
    </row>
    <row r="141" spans="2:10" x14ac:dyDescent="0.3">
      <c r="B141" s="29">
        <v>40333</v>
      </c>
      <c r="C141" s="16">
        <v>23</v>
      </c>
      <c r="D141" s="16" t="s">
        <v>109</v>
      </c>
      <c r="E141" s="16" t="s">
        <v>115</v>
      </c>
      <c r="F141" s="16" t="s">
        <v>118</v>
      </c>
      <c r="G141" s="16" t="s">
        <v>125</v>
      </c>
      <c r="H141" s="28">
        <v>19.95</v>
      </c>
      <c r="I141" s="16">
        <v>5</v>
      </c>
      <c r="J141" s="28">
        <v>99.75</v>
      </c>
    </row>
    <row r="142" spans="2:10" x14ac:dyDescent="0.3">
      <c r="B142" s="29">
        <v>40252</v>
      </c>
      <c r="C142" s="16">
        <v>29</v>
      </c>
      <c r="D142" s="16" t="s">
        <v>109</v>
      </c>
      <c r="E142" s="16" t="s">
        <v>124</v>
      </c>
      <c r="F142" s="16" t="s">
        <v>118</v>
      </c>
      <c r="G142" s="16" t="s">
        <v>125</v>
      </c>
      <c r="H142" s="28">
        <v>19.95</v>
      </c>
      <c r="I142" s="16">
        <v>5</v>
      </c>
      <c r="J142" s="28">
        <v>99.75</v>
      </c>
    </row>
    <row r="143" spans="2:10" x14ac:dyDescent="0.3">
      <c r="B143" s="29">
        <v>40390</v>
      </c>
      <c r="C143" s="16">
        <v>59</v>
      </c>
      <c r="D143" s="16" t="s">
        <v>119</v>
      </c>
      <c r="E143" s="16" t="s">
        <v>124</v>
      </c>
      <c r="F143" s="16" t="s">
        <v>118</v>
      </c>
      <c r="G143" s="16" t="s">
        <v>121</v>
      </c>
      <c r="H143" s="28">
        <v>19.95</v>
      </c>
      <c r="I143" s="16">
        <v>5</v>
      </c>
      <c r="J143" s="28">
        <v>99.75</v>
      </c>
    </row>
    <row r="144" spans="2:10" x14ac:dyDescent="0.3">
      <c r="B144" s="29">
        <v>40464</v>
      </c>
      <c r="C144" s="16">
        <v>28</v>
      </c>
      <c r="D144" s="16" t="s">
        <v>109</v>
      </c>
      <c r="E144" s="16" t="s">
        <v>126</v>
      </c>
      <c r="F144" s="16" t="s">
        <v>118</v>
      </c>
      <c r="G144" s="16" t="s">
        <v>121</v>
      </c>
      <c r="H144" s="28">
        <v>19.95</v>
      </c>
      <c r="I144" s="16">
        <v>5</v>
      </c>
      <c r="J144" s="28">
        <v>99.75</v>
      </c>
    </row>
    <row r="145" spans="2:10" x14ac:dyDescent="0.3">
      <c r="B145" s="29">
        <v>40534</v>
      </c>
      <c r="C145" s="16">
        <v>42</v>
      </c>
      <c r="D145" s="16" t="s">
        <v>109</v>
      </c>
      <c r="E145" s="16" t="s">
        <v>124</v>
      </c>
      <c r="F145" s="16" t="s">
        <v>118</v>
      </c>
      <c r="G145" s="16" t="s">
        <v>125</v>
      </c>
      <c r="H145" s="28">
        <v>19.95</v>
      </c>
      <c r="I145" s="16">
        <v>5</v>
      </c>
      <c r="J145" s="28">
        <v>99.75</v>
      </c>
    </row>
    <row r="146" spans="2:10" x14ac:dyDescent="0.3">
      <c r="B146" s="29">
        <v>40456</v>
      </c>
      <c r="C146" s="16">
        <v>20</v>
      </c>
      <c r="D146" s="16" t="s">
        <v>119</v>
      </c>
      <c r="E146" s="16" t="s">
        <v>123</v>
      </c>
      <c r="F146" s="16" t="s">
        <v>130</v>
      </c>
      <c r="G146" s="16" t="s">
        <v>117</v>
      </c>
      <c r="H146" s="28">
        <v>24.95</v>
      </c>
      <c r="I146" s="16">
        <v>4</v>
      </c>
      <c r="J146" s="28">
        <v>99.8</v>
      </c>
    </row>
    <row r="147" spans="2:10" x14ac:dyDescent="0.3">
      <c r="B147" s="29">
        <v>40349</v>
      </c>
      <c r="C147" s="16">
        <v>18</v>
      </c>
      <c r="D147" s="16" t="s">
        <v>119</v>
      </c>
      <c r="E147" s="16" t="s">
        <v>122</v>
      </c>
      <c r="F147" s="16" t="s">
        <v>130</v>
      </c>
      <c r="G147" s="16" t="s">
        <v>127</v>
      </c>
      <c r="H147" s="28">
        <v>24.95</v>
      </c>
      <c r="I147" s="16">
        <v>4</v>
      </c>
      <c r="J147" s="28">
        <v>99.8</v>
      </c>
    </row>
    <row r="148" spans="2:10" x14ac:dyDescent="0.3">
      <c r="B148" s="31">
        <v>40535</v>
      </c>
      <c r="C148" s="16">
        <v>54</v>
      </c>
      <c r="D148" s="16" t="s">
        <v>119</v>
      </c>
      <c r="E148" s="16" t="s">
        <v>123</v>
      </c>
      <c r="F148" s="16" t="s">
        <v>120</v>
      </c>
      <c r="G148" s="16" t="s">
        <v>127</v>
      </c>
      <c r="H148" s="28">
        <v>21.95</v>
      </c>
      <c r="I148" s="16">
        <v>5</v>
      </c>
      <c r="J148" s="28">
        <v>109.75</v>
      </c>
    </row>
    <row r="149" spans="2:10" x14ac:dyDescent="0.3">
      <c r="B149" s="29">
        <v>40388</v>
      </c>
      <c r="C149" s="16">
        <v>32</v>
      </c>
      <c r="D149" s="16" t="s">
        <v>119</v>
      </c>
      <c r="E149" s="16" t="s">
        <v>123</v>
      </c>
      <c r="F149" s="16" t="s">
        <v>120</v>
      </c>
      <c r="G149" s="16" t="s">
        <v>127</v>
      </c>
      <c r="H149" s="28">
        <v>21.95</v>
      </c>
      <c r="I149" s="16">
        <v>5</v>
      </c>
      <c r="J149" s="28">
        <v>109.75</v>
      </c>
    </row>
    <row r="150" spans="2:10" x14ac:dyDescent="0.3">
      <c r="B150" s="29">
        <v>40188</v>
      </c>
      <c r="C150" s="16">
        <v>63</v>
      </c>
      <c r="D150" s="16" t="s">
        <v>119</v>
      </c>
      <c r="E150" s="16" t="s">
        <v>124</v>
      </c>
      <c r="F150" s="16" t="s">
        <v>120</v>
      </c>
      <c r="G150" s="16" t="s">
        <v>117</v>
      </c>
      <c r="H150" s="28">
        <v>21.95</v>
      </c>
      <c r="I150" s="16">
        <v>5</v>
      </c>
      <c r="J150" s="28">
        <v>109.75</v>
      </c>
    </row>
    <row r="151" spans="2:10" x14ac:dyDescent="0.3">
      <c r="B151" s="29">
        <v>40525</v>
      </c>
      <c r="C151" s="16">
        <v>23</v>
      </c>
      <c r="D151" s="16" t="s">
        <v>109</v>
      </c>
      <c r="E151" s="16" t="s">
        <v>123</v>
      </c>
      <c r="F151" s="16" t="s">
        <v>120</v>
      </c>
      <c r="G151" s="16" t="s">
        <v>125</v>
      </c>
      <c r="H151" s="28">
        <v>21.95</v>
      </c>
      <c r="I151" s="16">
        <v>5</v>
      </c>
      <c r="J151" s="28">
        <v>109.75</v>
      </c>
    </row>
    <row r="152" spans="2:10" x14ac:dyDescent="0.3">
      <c r="B152" s="31">
        <v>40519</v>
      </c>
      <c r="C152" s="16">
        <v>27</v>
      </c>
      <c r="D152" s="16" t="s">
        <v>119</v>
      </c>
      <c r="E152" s="16" t="s">
        <v>123</v>
      </c>
      <c r="F152" s="16" t="s">
        <v>116</v>
      </c>
      <c r="G152" s="16" t="s">
        <v>127</v>
      </c>
      <c r="H152" s="28">
        <v>22.95</v>
      </c>
      <c r="I152" s="16">
        <v>5</v>
      </c>
      <c r="J152" s="28">
        <v>114.75</v>
      </c>
    </row>
    <row r="153" spans="2:10" x14ac:dyDescent="0.3">
      <c r="B153" s="29">
        <v>40474</v>
      </c>
      <c r="C153" s="16">
        <v>18</v>
      </c>
      <c r="D153" s="16" t="s">
        <v>119</v>
      </c>
      <c r="E153" s="16" t="s">
        <v>123</v>
      </c>
      <c r="F153" s="16" t="s">
        <v>116</v>
      </c>
      <c r="G153" s="16" t="s">
        <v>127</v>
      </c>
      <c r="H153" s="28">
        <v>22.95</v>
      </c>
      <c r="I153" s="16">
        <v>5</v>
      </c>
      <c r="J153" s="28">
        <v>114.75</v>
      </c>
    </row>
    <row r="154" spans="2:10" x14ac:dyDescent="0.3">
      <c r="B154" s="29">
        <v>40441</v>
      </c>
      <c r="C154" s="16">
        <v>52</v>
      </c>
      <c r="D154" s="16" t="s">
        <v>119</v>
      </c>
      <c r="E154" s="16" t="s">
        <v>122</v>
      </c>
      <c r="F154" s="16" t="s">
        <v>116</v>
      </c>
      <c r="G154" s="16" t="s">
        <v>127</v>
      </c>
      <c r="H154" s="28">
        <v>22.95</v>
      </c>
      <c r="I154" s="16">
        <v>5</v>
      </c>
      <c r="J154" s="28">
        <v>114.75</v>
      </c>
    </row>
    <row r="155" spans="2:10" x14ac:dyDescent="0.3">
      <c r="B155" s="29">
        <v>40330</v>
      </c>
      <c r="C155" s="16">
        <v>48</v>
      </c>
      <c r="D155" s="16" t="s">
        <v>119</v>
      </c>
      <c r="E155" s="16" t="s">
        <v>123</v>
      </c>
      <c r="F155" s="16" t="s">
        <v>116</v>
      </c>
      <c r="G155" s="16" t="s">
        <v>121</v>
      </c>
      <c r="H155" s="28">
        <v>22.95</v>
      </c>
      <c r="I155" s="16">
        <v>5</v>
      </c>
      <c r="J155" s="28">
        <v>114.75</v>
      </c>
    </row>
    <row r="156" spans="2:10" x14ac:dyDescent="0.3">
      <c r="B156" s="29">
        <v>40300</v>
      </c>
      <c r="C156" s="16">
        <v>29</v>
      </c>
      <c r="D156" s="16" t="s">
        <v>119</v>
      </c>
      <c r="E156" s="16" t="s">
        <v>122</v>
      </c>
      <c r="F156" s="16" t="s">
        <v>116</v>
      </c>
      <c r="G156" s="16" t="s">
        <v>121</v>
      </c>
      <c r="H156" s="28">
        <v>22.95</v>
      </c>
      <c r="I156" s="16">
        <v>5</v>
      </c>
      <c r="J156" s="28">
        <v>114.75</v>
      </c>
    </row>
    <row r="157" spans="2:10" x14ac:dyDescent="0.3">
      <c r="B157" s="29">
        <v>40392</v>
      </c>
      <c r="C157" s="16">
        <v>51</v>
      </c>
      <c r="D157" s="16" t="s">
        <v>119</v>
      </c>
      <c r="E157" s="16" t="s">
        <v>123</v>
      </c>
      <c r="F157" s="16" t="s">
        <v>116</v>
      </c>
      <c r="G157" s="16" t="s">
        <v>117</v>
      </c>
      <c r="H157" s="28">
        <v>22.95</v>
      </c>
      <c r="I157" s="16">
        <v>5</v>
      </c>
      <c r="J157" s="28">
        <v>114.75</v>
      </c>
    </row>
    <row r="158" spans="2:10" x14ac:dyDescent="0.3">
      <c r="B158" s="29">
        <v>40490</v>
      </c>
      <c r="C158" s="16">
        <v>65</v>
      </c>
      <c r="D158" s="16" t="s">
        <v>119</v>
      </c>
      <c r="E158" s="16" t="s">
        <v>123</v>
      </c>
      <c r="F158" s="16" t="s">
        <v>116</v>
      </c>
      <c r="G158" s="16" t="s">
        <v>117</v>
      </c>
      <c r="H158" s="28">
        <v>22.95</v>
      </c>
      <c r="I158" s="16">
        <v>5</v>
      </c>
      <c r="J158" s="28">
        <v>114.75</v>
      </c>
    </row>
    <row r="159" spans="2:10" x14ac:dyDescent="0.3">
      <c r="B159" s="29">
        <v>40531</v>
      </c>
      <c r="C159" s="16">
        <v>57</v>
      </c>
      <c r="D159" s="16" t="s">
        <v>119</v>
      </c>
      <c r="E159" s="16" t="s">
        <v>123</v>
      </c>
      <c r="F159" s="16" t="s">
        <v>116</v>
      </c>
      <c r="G159" s="16" t="s">
        <v>117</v>
      </c>
      <c r="H159" s="28">
        <v>22.95</v>
      </c>
      <c r="I159" s="16">
        <v>5</v>
      </c>
      <c r="J159" s="28">
        <v>114.75</v>
      </c>
    </row>
    <row r="160" spans="2:10" x14ac:dyDescent="0.3">
      <c r="B160" s="29">
        <v>40260</v>
      </c>
      <c r="C160" s="16">
        <v>30</v>
      </c>
      <c r="D160" s="16" t="s">
        <v>119</v>
      </c>
      <c r="E160" s="16" t="s">
        <v>124</v>
      </c>
      <c r="F160" s="16" t="s">
        <v>116</v>
      </c>
      <c r="G160" s="16" t="s">
        <v>127</v>
      </c>
      <c r="H160" s="28">
        <v>22.95</v>
      </c>
      <c r="I160" s="16">
        <v>5</v>
      </c>
      <c r="J160" s="28">
        <v>114.75</v>
      </c>
    </row>
    <row r="161" spans="2:10" x14ac:dyDescent="0.3">
      <c r="B161" s="29">
        <v>40401</v>
      </c>
      <c r="C161" s="16">
        <v>28</v>
      </c>
      <c r="D161" s="16" t="s">
        <v>109</v>
      </c>
      <c r="E161" s="16" t="s">
        <v>124</v>
      </c>
      <c r="F161" s="16" t="s">
        <v>116</v>
      </c>
      <c r="G161" s="16" t="s">
        <v>117</v>
      </c>
      <c r="H161" s="28">
        <v>22.95</v>
      </c>
      <c r="I161" s="16">
        <v>5</v>
      </c>
      <c r="J161" s="28">
        <v>114.75</v>
      </c>
    </row>
    <row r="162" spans="2:10" x14ac:dyDescent="0.3">
      <c r="B162" s="29">
        <v>40465</v>
      </c>
      <c r="C162" s="16">
        <v>61</v>
      </c>
      <c r="D162" s="16" t="s">
        <v>119</v>
      </c>
      <c r="E162" s="16" t="s">
        <v>115</v>
      </c>
      <c r="F162" s="16" t="s">
        <v>116</v>
      </c>
      <c r="G162" s="16" t="s">
        <v>127</v>
      </c>
      <c r="H162" s="28">
        <v>22.95</v>
      </c>
      <c r="I162" s="16">
        <v>5</v>
      </c>
      <c r="J162" s="28">
        <v>114.75</v>
      </c>
    </row>
    <row r="163" spans="2:10" x14ac:dyDescent="0.3">
      <c r="B163" s="30">
        <v>40307</v>
      </c>
      <c r="C163" s="16">
        <v>27</v>
      </c>
      <c r="D163" s="16" t="s">
        <v>119</v>
      </c>
      <c r="E163" s="16" t="s">
        <v>122</v>
      </c>
      <c r="F163" s="16" t="s">
        <v>118</v>
      </c>
      <c r="G163" s="16" t="s">
        <v>117</v>
      </c>
      <c r="H163" s="28">
        <v>19.95</v>
      </c>
      <c r="I163" s="16">
        <v>6</v>
      </c>
      <c r="J163" s="28">
        <v>119.69999999999999</v>
      </c>
    </row>
    <row r="164" spans="2:10" x14ac:dyDescent="0.3">
      <c r="B164" s="29">
        <v>40204</v>
      </c>
      <c r="C164" s="16">
        <v>37</v>
      </c>
      <c r="D164" s="16" t="s">
        <v>109</v>
      </c>
      <c r="E164" s="16" t="s">
        <v>123</v>
      </c>
      <c r="F164" s="16" t="s">
        <v>118</v>
      </c>
      <c r="G164" s="16" t="s">
        <v>117</v>
      </c>
      <c r="H164" s="28">
        <v>19.95</v>
      </c>
      <c r="I164" s="16">
        <v>6</v>
      </c>
      <c r="J164" s="28">
        <v>119.69999999999999</v>
      </c>
    </row>
    <row r="165" spans="2:10" x14ac:dyDescent="0.3">
      <c r="B165" s="30">
        <v>40255</v>
      </c>
      <c r="C165" s="16">
        <v>50</v>
      </c>
      <c r="D165" s="16" t="s">
        <v>109</v>
      </c>
      <c r="E165" s="16" t="s">
        <v>115</v>
      </c>
      <c r="F165" s="16" t="s">
        <v>118</v>
      </c>
      <c r="G165" s="16" t="s">
        <v>127</v>
      </c>
      <c r="H165" s="28">
        <v>19.95</v>
      </c>
      <c r="I165" s="16">
        <v>6</v>
      </c>
      <c r="J165" s="28">
        <v>119.69999999999999</v>
      </c>
    </row>
    <row r="166" spans="2:10" x14ac:dyDescent="0.3">
      <c r="B166" s="29">
        <v>40295</v>
      </c>
      <c r="C166" s="16">
        <v>38</v>
      </c>
      <c r="D166" s="16" t="s">
        <v>119</v>
      </c>
      <c r="E166" s="16" t="s">
        <v>124</v>
      </c>
      <c r="F166" s="16" t="s">
        <v>118</v>
      </c>
      <c r="G166" s="16" t="s">
        <v>117</v>
      </c>
      <c r="H166" s="28">
        <v>19.95</v>
      </c>
      <c r="I166" s="16">
        <v>6</v>
      </c>
      <c r="J166" s="28">
        <v>119.69999999999999</v>
      </c>
    </row>
    <row r="167" spans="2:10" x14ac:dyDescent="0.3">
      <c r="B167" s="29">
        <v>40536</v>
      </c>
      <c r="C167" s="16">
        <v>22</v>
      </c>
      <c r="D167" s="16" t="s">
        <v>119</v>
      </c>
      <c r="E167" s="16" t="s">
        <v>123</v>
      </c>
      <c r="F167" s="16" t="s">
        <v>118</v>
      </c>
      <c r="G167" s="16" t="s">
        <v>127</v>
      </c>
      <c r="H167" s="28">
        <v>19.95</v>
      </c>
      <c r="I167" s="16">
        <v>6</v>
      </c>
      <c r="J167" s="28">
        <v>119.69999999999999</v>
      </c>
    </row>
    <row r="168" spans="2:10" x14ac:dyDescent="0.3">
      <c r="B168" s="29">
        <v>40342</v>
      </c>
      <c r="C168" s="16">
        <v>38</v>
      </c>
      <c r="D168" s="16" t="s">
        <v>109</v>
      </c>
      <c r="E168" s="16" t="s">
        <v>123</v>
      </c>
      <c r="F168" s="16" t="s">
        <v>129</v>
      </c>
      <c r="G168" s="16" t="s">
        <v>117</v>
      </c>
      <c r="H168" s="28">
        <v>29.95</v>
      </c>
      <c r="I168" s="16">
        <v>4</v>
      </c>
      <c r="J168" s="28">
        <v>119.8</v>
      </c>
    </row>
    <row r="169" spans="2:10" x14ac:dyDescent="0.3">
      <c r="B169" s="29">
        <v>40289</v>
      </c>
      <c r="C169" s="16">
        <v>55</v>
      </c>
      <c r="D169" s="16" t="s">
        <v>119</v>
      </c>
      <c r="E169" s="16" t="s">
        <v>123</v>
      </c>
      <c r="F169" s="16" t="s">
        <v>129</v>
      </c>
      <c r="G169" s="16" t="s">
        <v>117</v>
      </c>
      <c r="H169" s="28">
        <v>29.95</v>
      </c>
      <c r="I169" s="16">
        <v>4</v>
      </c>
      <c r="J169" s="28">
        <v>119.8</v>
      </c>
    </row>
    <row r="170" spans="2:10" x14ac:dyDescent="0.3">
      <c r="B170" s="29">
        <v>40387</v>
      </c>
      <c r="C170" s="16">
        <v>18</v>
      </c>
      <c r="D170" s="16" t="s">
        <v>119</v>
      </c>
      <c r="E170" s="16" t="s">
        <v>126</v>
      </c>
      <c r="F170" s="16" t="s">
        <v>128</v>
      </c>
      <c r="G170" s="16" t="s">
        <v>117</v>
      </c>
      <c r="H170" s="28">
        <v>24.95</v>
      </c>
      <c r="I170" s="16">
        <v>5</v>
      </c>
      <c r="J170" s="28">
        <v>124.75</v>
      </c>
    </row>
    <row r="171" spans="2:10" x14ac:dyDescent="0.3">
      <c r="B171" s="29">
        <v>40528</v>
      </c>
      <c r="C171" s="16">
        <v>25</v>
      </c>
      <c r="D171" s="16" t="s">
        <v>119</v>
      </c>
      <c r="E171" s="16" t="s">
        <v>115</v>
      </c>
      <c r="F171" s="16" t="s">
        <v>130</v>
      </c>
      <c r="G171" s="16" t="s">
        <v>127</v>
      </c>
      <c r="H171" s="28">
        <v>24.95</v>
      </c>
      <c r="I171" s="16">
        <v>5</v>
      </c>
      <c r="J171" s="28">
        <v>124.75</v>
      </c>
    </row>
    <row r="172" spans="2:10" x14ac:dyDescent="0.3">
      <c r="B172" s="29">
        <v>40448</v>
      </c>
      <c r="C172" s="16">
        <v>35</v>
      </c>
      <c r="D172" s="16" t="s">
        <v>119</v>
      </c>
      <c r="E172" s="16" t="s">
        <v>115</v>
      </c>
      <c r="F172" s="16" t="s">
        <v>128</v>
      </c>
      <c r="G172" s="16" t="s">
        <v>121</v>
      </c>
      <c r="H172" s="28">
        <v>24.95</v>
      </c>
      <c r="I172" s="16">
        <v>5</v>
      </c>
      <c r="J172" s="28">
        <v>124.75</v>
      </c>
    </row>
    <row r="173" spans="2:10" x14ac:dyDescent="0.3">
      <c r="B173" s="29">
        <v>40461</v>
      </c>
      <c r="C173" s="16">
        <v>47</v>
      </c>
      <c r="D173" s="16" t="s">
        <v>119</v>
      </c>
      <c r="E173" s="16" t="s">
        <v>115</v>
      </c>
      <c r="F173" s="16" t="s">
        <v>128</v>
      </c>
      <c r="G173" s="16" t="s">
        <v>117</v>
      </c>
      <c r="H173" s="28">
        <v>24.95</v>
      </c>
      <c r="I173" s="16">
        <v>5</v>
      </c>
      <c r="J173" s="28">
        <v>124.75</v>
      </c>
    </row>
    <row r="174" spans="2:10" x14ac:dyDescent="0.3">
      <c r="B174" s="29">
        <v>40323</v>
      </c>
      <c r="C174" s="16">
        <v>21</v>
      </c>
      <c r="D174" s="16" t="s">
        <v>119</v>
      </c>
      <c r="E174" s="16" t="s">
        <v>124</v>
      </c>
      <c r="F174" s="16" t="s">
        <v>130</v>
      </c>
      <c r="G174" s="16" t="s">
        <v>121</v>
      </c>
      <c r="H174" s="28">
        <v>24.95</v>
      </c>
      <c r="I174" s="16">
        <v>5</v>
      </c>
      <c r="J174" s="28">
        <v>124.75</v>
      </c>
    </row>
    <row r="175" spans="2:10" x14ac:dyDescent="0.3">
      <c r="B175" s="29">
        <v>40487</v>
      </c>
      <c r="C175" s="16">
        <v>20</v>
      </c>
      <c r="D175" s="16" t="s">
        <v>119</v>
      </c>
      <c r="E175" s="16" t="s">
        <v>123</v>
      </c>
      <c r="F175" s="16" t="s">
        <v>128</v>
      </c>
      <c r="G175" s="16" t="s">
        <v>117</v>
      </c>
      <c r="H175" s="28">
        <v>24.95</v>
      </c>
      <c r="I175" s="16">
        <v>5</v>
      </c>
      <c r="J175" s="28">
        <v>124.75</v>
      </c>
    </row>
    <row r="176" spans="2:10" x14ac:dyDescent="0.3">
      <c r="B176" s="29">
        <v>40479</v>
      </c>
      <c r="C176" s="16">
        <v>43</v>
      </c>
      <c r="D176" s="16" t="s">
        <v>119</v>
      </c>
      <c r="E176" s="16" t="s">
        <v>123</v>
      </c>
      <c r="F176" s="16" t="s">
        <v>130</v>
      </c>
      <c r="G176" s="16" t="s">
        <v>125</v>
      </c>
      <c r="H176" s="28">
        <v>24.95</v>
      </c>
      <c r="I176" s="16">
        <v>5</v>
      </c>
      <c r="J176" s="28">
        <v>124.75</v>
      </c>
    </row>
    <row r="177" spans="2:10" x14ac:dyDescent="0.3">
      <c r="B177" s="29">
        <v>40484</v>
      </c>
      <c r="C177" s="16">
        <v>39</v>
      </c>
      <c r="D177" s="16" t="s">
        <v>119</v>
      </c>
      <c r="E177" s="16" t="s">
        <v>123</v>
      </c>
      <c r="F177" s="16" t="s">
        <v>128</v>
      </c>
      <c r="G177" s="16" t="s">
        <v>127</v>
      </c>
      <c r="H177" s="28">
        <v>24.95</v>
      </c>
      <c r="I177" s="16">
        <v>5</v>
      </c>
      <c r="J177" s="28">
        <v>124.75</v>
      </c>
    </row>
    <row r="178" spans="2:10" x14ac:dyDescent="0.3">
      <c r="B178" s="29">
        <v>40371</v>
      </c>
      <c r="C178" s="16">
        <v>60</v>
      </c>
      <c r="D178" s="16" t="s">
        <v>119</v>
      </c>
      <c r="E178" s="16" t="s">
        <v>126</v>
      </c>
      <c r="F178" s="16" t="s">
        <v>120</v>
      </c>
      <c r="G178" s="16" t="s">
        <v>127</v>
      </c>
      <c r="H178" s="28">
        <v>21.95</v>
      </c>
      <c r="I178" s="16">
        <v>6</v>
      </c>
      <c r="J178" s="28">
        <v>131.69999999999999</v>
      </c>
    </row>
    <row r="179" spans="2:10" x14ac:dyDescent="0.3">
      <c r="B179" s="29">
        <v>40528</v>
      </c>
      <c r="C179" s="16">
        <v>26</v>
      </c>
      <c r="D179" s="16" t="s">
        <v>109</v>
      </c>
      <c r="E179" s="16" t="s">
        <v>124</v>
      </c>
      <c r="F179" s="16" t="s">
        <v>120</v>
      </c>
      <c r="G179" s="16" t="s">
        <v>117</v>
      </c>
      <c r="H179" s="28">
        <v>21.95</v>
      </c>
      <c r="I179" s="16">
        <v>6</v>
      </c>
      <c r="J179" s="28">
        <v>131.69999999999999</v>
      </c>
    </row>
    <row r="180" spans="2:10" x14ac:dyDescent="0.3">
      <c r="B180" s="29">
        <v>40539</v>
      </c>
      <c r="C180" s="16">
        <v>26</v>
      </c>
      <c r="D180" s="16" t="s">
        <v>119</v>
      </c>
      <c r="E180" s="16" t="s">
        <v>124</v>
      </c>
      <c r="F180" s="16" t="s">
        <v>116</v>
      </c>
      <c r="G180" s="16" t="s">
        <v>117</v>
      </c>
      <c r="H180" s="28">
        <v>22.95</v>
      </c>
      <c r="I180" s="16">
        <v>6</v>
      </c>
      <c r="J180" s="28">
        <v>137.69999999999999</v>
      </c>
    </row>
    <row r="181" spans="2:10" x14ac:dyDescent="0.3">
      <c r="B181" s="29">
        <v>40343</v>
      </c>
      <c r="C181" s="16">
        <v>64</v>
      </c>
      <c r="D181" s="16" t="s">
        <v>119</v>
      </c>
      <c r="E181" s="16" t="s">
        <v>126</v>
      </c>
      <c r="F181" s="16" t="s">
        <v>118</v>
      </c>
      <c r="G181" s="16" t="s">
        <v>117</v>
      </c>
      <c r="H181" s="28">
        <v>19.95</v>
      </c>
      <c r="I181" s="16">
        <v>7</v>
      </c>
      <c r="J181" s="28">
        <v>139.65</v>
      </c>
    </row>
    <row r="182" spans="2:10" x14ac:dyDescent="0.3">
      <c r="B182" s="29">
        <v>40206</v>
      </c>
      <c r="C182" s="16">
        <v>29</v>
      </c>
      <c r="D182" s="16" t="s">
        <v>119</v>
      </c>
      <c r="E182" s="16" t="s">
        <v>115</v>
      </c>
      <c r="F182" s="16" t="s">
        <v>118</v>
      </c>
      <c r="G182" s="16" t="s">
        <v>117</v>
      </c>
      <c r="H182" s="28">
        <v>19.95</v>
      </c>
      <c r="I182" s="16">
        <v>7</v>
      </c>
      <c r="J182" s="28">
        <v>139.65</v>
      </c>
    </row>
    <row r="183" spans="2:10" x14ac:dyDescent="0.3">
      <c r="B183" s="29">
        <v>40304</v>
      </c>
      <c r="C183" s="16">
        <v>38</v>
      </c>
      <c r="D183" s="16" t="s">
        <v>109</v>
      </c>
      <c r="E183" s="16" t="s">
        <v>122</v>
      </c>
      <c r="F183" s="16" t="s">
        <v>130</v>
      </c>
      <c r="G183" s="16" t="s">
        <v>125</v>
      </c>
      <c r="H183" s="28">
        <v>24.95</v>
      </c>
      <c r="I183" s="16">
        <v>6</v>
      </c>
      <c r="J183" s="28">
        <v>149.69999999999999</v>
      </c>
    </row>
    <row r="184" spans="2:10" x14ac:dyDescent="0.3">
      <c r="B184" s="29">
        <v>40298</v>
      </c>
      <c r="C184" s="16">
        <v>23</v>
      </c>
      <c r="D184" s="16" t="s">
        <v>119</v>
      </c>
      <c r="E184" s="16" t="s">
        <v>124</v>
      </c>
      <c r="F184" s="16" t="s">
        <v>129</v>
      </c>
      <c r="G184" s="16" t="s">
        <v>127</v>
      </c>
      <c r="H184" s="28">
        <v>29.95</v>
      </c>
      <c r="I184" s="16">
        <v>5</v>
      </c>
      <c r="J184" s="28">
        <v>149.75</v>
      </c>
    </row>
    <row r="185" spans="2:10" x14ac:dyDescent="0.3">
      <c r="B185" s="29">
        <v>40377</v>
      </c>
      <c r="C185" s="16">
        <v>33</v>
      </c>
      <c r="D185" s="16" t="s">
        <v>119</v>
      </c>
      <c r="E185" s="16" t="s">
        <v>124</v>
      </c>
      <c r="F185" s="16" t="s">
        <v>120</v>
      </c>
      <c r="G185" s="16" t="s">
        <v>117</v>
      </c>
      <c r="H185" s="28">
        <v>21.95</v>
      </c>
      <c r="I185" s="16">
        <v>7</v>
      </c>
      <c r="J185" s="28">
        <v>153.65</v>
      </c>
    </row>
    <row r="186" spans="2:10" x14ac:dyDescent="0.3">
      <c r="B186" s="31">
        <v>40200</v>
      </c>
      <c r="C186" s="16">
        <v>49</v>
      </c>
      <c r="D186" s="16" t="s">
        <v>109</v>
      </c>
      <c r="E186" s="16" t="s">
        <v>123</v>
      </c>
      <c r="F186" s="16" t="s">
        <v>116</v>
      </c>
      <c r="G186" s="16" t="s">
        <v>117</v>
      </c>
      <c r="H186" s="28">
        <v>22.95</v>
      </c>
      <c r="I186" s="16">
        <v>7</v>
      </c>
      <c r="J186" s="28">
        <v>160.65</v>
      </c>
    </row>
    <row r="187" spans="2:10" x14ac:dyDescent="0.3">
      <c r="B187" s="29">
        <v>40417</v>
      </c>
      <c r="C187" s="16">
        <v>23</v>
      </c>
      <c r="D187" s="16" t="s">
        <v>119</v>
      </c>
      <c r="E187" s="16" t="s">
        <v>123</v>
      </c>
      <c r="F187" s="16" t="s">
        <v>116</v>
      </c>
      <c r="G187" s="16" t="s">
        <v>117</v>
      </c>
      <c r="H187" s="28">
        <v>22.95</v>
      </c>
      <c r="I187" s="16">
        <v>7</v>
      </c>
      <c r="J187" s="28">
        <v>160.65</v>
      </c>
    </row>
    <row r="188" spans="2:10" x14ac:dyDescent="0.3">
      <c r="B188" s="29">
        <v>40498</v>
      </c>
      <c r="C188" s="16">
        <v>19</v>
      </c>
      <c r="D188" s="16" t="s">
        <v>119</v>
      </c>
      <c r="E188" s="16" t="s">
        <v>115</v>
      </c>
      <c r="F188" s="16" t="s">
        <v>116</v>
      </c>
      <c r="G188" s="16" t="s">
        <v>127</v>
      </c>
      <c r="H188" s="28">
        <v>22.95</v>
      </c>
      <c r="I188" s="16">
        <v>7</v>
      </c>
      <c r="J188" s="28">
        <v>160.65</v>
      </c>
    </row>
    <row r="189" spans="2:10" x14ac:dyDescent="0.3">
      <c r="B189" s="29">
        <v>40291</v>
      </c>
      <c r="C189" s="16">
        <v>28</v>
      </c>
      <c r="D189" s="16" t="s">
        <v>119</v>
      </c>
      <c r="E189" s="16" t="s">
        <v>124</v>
      </c>
      <c r="F189" s="16" t="s">
        <v>116</v>
      </c>
      <c r="G189" s="16" t="s">
        <v>125</v>
      </c>
      <c r="H189" s="28">
        <v>22.95</v>
      </c>
      <c r="I189" s="16">
        <v>7</v>
      </c>
      <c r="J189" s="28">
        <v>160.65</v>
      </c>
    </row>
    <row r="190" spans="2:10" x14ac:dyDescent="0.3">
      <c r="B190" s="29">
        <v>40264</v>
      </c>
      <c r="C190" s="16">
        <v>31</v>
      </c>
      <c r="D190" s="16" t="s">
        <v>119</v>
      </c>
      <c r="E190" s="16" t="s">
        <v>124</v>
      </c>
      <c r="F190" s="16" t="s">
        <v>116</v>
      </c>
      <c r="G190" s="16" t="s">
        <v>127</v>
      </c>
      <c r="H190" s="28">
        <v>22.95</v>
      </c>
      <c r="I190" s="16">
        <v>7</v>
      </c>
      <c r="J190" s="28">
        <v>160.65</v>
      </c>
    </row>
    <row r="191" spans="2:10" x14ac:dyDescent="0.3">
      <c r="B191" s="29">
        <v>40311</v>
      </c>
      <c r="C191" s="16">
        <v>26</v>
      </c>
      <c r="D191" s="16" t="s">
        <v>119</v>
      </c>
      <c r="E191" s="16" t="s">
        <v>115</v>
      </c>
      <c r="F191" s="16" t="s">
        <v>128</v>
      </c>
      <c r="G191" s="16" t="s">
        <v>127</v>
      </c>
      <c r="H191" s="28">
        <v>24.95</v>
      </c>
      <c r="I191" s="16">
        <v>7</v>
      </c>
      <c r="J191" s="28">
        <v>174.65</v>
      </c>
    </row>
    <row r="192" spans="2:10" x14ac:dyDescent="0.3">
      <c r="B192" s="29">
        <v>40437</v>
      </c>
      <c r="C192" s="16">
        <v>54</v>
      </c>
      <c r="D192" s="16" t="s">
        <v>109</v>
      </c>
      <c r="E192" s="16" t="s">
        <v>123</v>
      </c>
      <c r="F192" s="16" t="s">
        <v>128</v>
      </c>
      <c r="G192" s="16" t="s">
        <v>117</v>
      </c>
      <c r="H192" s="28">
        <v>24.95</v>
      </c>
      <c r="I192" s="16">
        <v>7</v>
      </c>
      <c r="J192" s="28">
        <v>174.65</v>
      </c>
    </row>
    <row r="193" spans="2:10" x14ac:dyDescent="0.3">
      <c r="B193" s="29">
        <v>40216</v>
      </c>
      <c r="C193" s="16">
        <v>65</v>
      </c>
      <c r="D193" s="16" t="s">
        <v>119</v>
      </c>
      <c r="E193" s="16" t="s">
        <v>126</v>
      </c>
      <c r="F193" s="16" t="s">
        <v>130</v>
      </c>
      <c r="G193" s="16" t="s">
        <v>127</v>
      </c>
      <c r="H193" s="28">
        <v>24.95</v>
      </c>
      <c r="I193" s="16">
        <v>7</v>
      </c>
      <c r="J193" s="28">
        <v>174.65</v>
      </c>
    </row>
    <row r="194" spans="2:10" x14ac:dyDescent="0.3">
      <c r="B194" s="29">
        <v>40493</v>
      </c>
      <c r="C194" s="16">
        <v>59</v>
      </c>
      <c r="D194" s="16" t="s">
        <v>109</v>
      </c>
      <c r="E194" s="16" t="s">
        <v>124</v>
      </c>
      <c r="F194" s="16" t="s">
        <v>129</v>
      </c>
      <c r="G194" s="16" t="s">
        <v>125</v>
      </c>
      <c r="H194" s="28">
        <v>29.95</v>
      </c>
      <c r="I194" s="16">
        <v>6</v>
      </c>
      <c r="J194" s="28">
        <v>179.7</v>
      </c>
    </row>
    <row r="195" spans="2:10" x14ac:dyDescent="0.3">
      <c r="B195" s="29">
        <v>40534</v>
      </c>
      <c r="C195" s="16">
        <v>38</v>
      </c>
      <c r="D195" s="16" t="s">
        <v>119</v>
      </c>
      <c r="E195" s="16" t="s">
        <v>123</v>
      </c>
      <c r="F195" s="16" t="s">
        <v>129</v>
      </c>
      <c r="G195" s="16" t="s">
        <v>117</v>
      </c>
      <c r="H195" s="28">
        <v>29.95</v>
      </c>
      <c r="I195" s="16">
        <v>6</v>
      </c>
      <c r="J195" s="28">
        <v>179.7</v>
      </c>
    </row>
    <row r="196" spans="2:10" x14ac:dyDescent="0.3">
      <c r="B196" s="29">
        <v>40516</v>
      </c>
      <c r="C196" s="16">
        <v>25</v>
      </c>
      <c r="D196" s="16" t="s">
        <v>119</v>
      </c>
      <c r="E196" s="16" t="s">
        <v>122</v>
      </c>
      <c r="F196" s="16" t="s">
        <v>129</v>
      </c>
      <c r="G196" s="16" t="s">
        <v>121</v>
      </c>
      <c r="H196" s="28">
        <v>29.95</v>
      </c>
      <c r="I196" s="16">
        <v>6</v>
      </c>
      <c r="J196" s="28">
        <v>179.7</v>
      </c>
    </row>
    <row r="197" spans="2:10" x14ac:dyDescent="0.3">
      <c r="B197" s="29">
        <v>40453</v>
      </c>
      <c r="C197" s="16">
        <v>39</v>
      </c>
      <c r="D197" s="16" t="s">
        <v>109</v>
      </c>
      <c r="E197" s="16" t="s">
        <v>124</v>
      </c>
      <c r="F197" s="16" t="s">
        <v>118</v>
      </c>
      <c r="G197" s="16" t="s">
        <v>121</v>
      </c>
      <c r="H197" s="28">
        <v>19.95</v>
      </c>
      <c r="I197" s="16">
        <v>10</v>
      </c>
      <c r="J197" s="28">
        <v>199.5</v>
      </c>
    </row>
    <row r="198" spans="2:10" x14ac:dyDescent="0.3">
      <c r="B198" s="29">
        <v>40483</v>
      </c>
      <c r="C198" s="16">
        <v>25</v>
      </c>
      <c r="D198" s="16" t="s">
        <v>109</v>
      </c>
      <c r="E198" s="16" t="s">
        <v>115</v>
      </c>
      <c r="F198" s="16" t="s">
        <v>129</v>
      </c>
      <c r="G198" s="16" t="s">
        <v>117</v>
      </c>
      <c r="H198" s="28">
        <v>29.95</v>
      </c>
      <c r="I198" s="16">
        <v>7</v>
      </c>
      <c r="J198" s="28">
        <v>209.65</v>
      </c>
    </row>
    <row r="199" spans="2:10" x14ac:dyDescent="0.3">
      <c r="B199" s="29">
        <v>40402</v>
      </c>
      <c r="C199" s="16">
        <v>57</v>
      </c>
      <c r="D199" s="16" t="s">
        <v>119</v>
      </c>
      <c r="E199" s="16" t="s">
        <v>115</v>
      </c>
      <c r="F199" s="16" t="s">
        <v>129</v>
      </c>
      <c r="G199" s="16" t="s">
        <v>117</v>
      </c>
      <c r="H199" s="28">
        <v>29.95</v>
      </c>
      <c r="I199" s="16">
        <v>7</v>
      </c>
      <c r="J199" s="28">
        <v>209.65</v>
      </c>
    </row>
    <row r="200" spans="2:10" x14ac:dyDescent="0.3">
      <c r="B200" s="29">
        <v>40204</v>
      </c>
      <c r="C200" s="16">
        <v>55</v>
      </c>
      <c r="D200" s="16" t="s">
        <v>119</v>
      </c>
      <c r="E200" s="16" t="s">
        <v>123</v>
      </c>
      <c r="F200" s="16" t="s">
        <v>116</v>
      </c>
      <c r="G200" s="16" t="s">
        <v>117</v>
      </c>
      <c r="H200" s="28">
        <v>22.95</v>
      </c>
      <c r="I200" s="16">
        <v>10</v>
      </c>
      <c r="J200" s="28">
        <v>229.5</v>
      </c>
    </row>
    <row r="201" spans="2:10" x14ac:dyDescent="0.3">
      <c r="B201" s="29">
        <v>40474</v>
      </c>
      <c r="C201" s="16">
        <v>64</v>
      </c>
      <c r="D201" s="16" t="s">
        <v>119</v>
      </c>
      <c r="E201" s="16" t="s">
        <v>123</v>
      </c>
      <c r="F201" s="16" t="s">
        <v>116</v>
      </c>
      <c r="G201" s="16" t="s">
        <v>117</v>
      </c>
      <c r="H201" s="28">
        <v>22.95</v>
      </c>
      <c r="I201" s="16">
        <v>10</v>
      </c>
      <c r="J201" s="28">
        <v>229.5</v>
      </c>
    </row>
    <row r="202" spans="2:10" x14ac:dyDescent="0.3">
      <c r="B202" s="29">
        <v>40504</v>
      </c>
      <c r="C202" s="16">
        <v>54</v>
      </c>
      <c r="D202" s="16" t="s">
        <v>109</v>
      </c>
      <c r="E202" s="16" t="s">
        <v>122</v>
      </c>
      <c r="F202" s="16" t="s">
        <v>130</v>
      </c>
      <c r="G202" s="16" t="s">
        <v>117</v>
      </c>
      <c r="H202" s="28">
        <v>24.95</v>
      </c>
      <c r="I202" s="16">
        <v>10</v>
      </c>
      <c r="J202" s="28">
        <v>249.5</v>
      </c>
    </row>
    <row r="203" spans="2:10" x14ac:dyDescent="0.3">
      <c r="B203" s="29">
        <v>40255</v>
      </c>
      <c r="C203" s="16">
        <v>23</v>
      </c>
      <c r="D203" s="16" t="s">
        <v>119</v>
      </c>
      <c r="E203" s="16" t="s">
        <v>122</v>
      </c>
      <c r="F203" s="16" t="s">
        <v>130</v>
      </c>
      <c r="G203" s="16" t="s">
        <v>127</v>
      </c>
      <c r="H203" s="28">
        <v>24.95</v>
      </c>
      <c r="I203" s="16">
        <v>10</v>
      </c>
      <c r="J203" s="28">
        <v>249.5</v>
      </c>
    </row>
    <row r="204" spans="2:10" x14ac:dyDescent="0.3">
      <c r="B204" s="29">
        <v>40363</v>
      </c>
      <c r="C204" s="16">
        <v>30</v>
      </c>
      <c r="D204" s="16" t="s">
        <v>119</v>
      </c>
      <c r="E204" s="16" t="s">
        <v>124</v>
      </c>
      <c r="F204" s="16" t="s">
        <v>129</v>
      </c>
      <c r="G204" s="16" t="s">
        <v>125</v>
      </c>
      <c r="H204" s="28">
        <v>29.95</v>
      </c>
      <c r="I204" s="16">
        <v>10</v>
      </c>
      <c r="J204" s="28">
        <v>299.5</v>
      </c>
    </row>
  </sheetData>
  <sortState xmlns:xlrd2="http://schemas.microsoft.com/office/spreadsheetml/2017/richdata2" ref="B5:J204">
    <sortCondition ref="J5:J204"/>
  </sortState>
  <hyperlinks>
    <hyperlink ref="A1" location="Topics!B11" display="Home" xr:uid="{00000000-0004-0000-05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00FF"/>
  </sheetPr>
  <dimension ref="A1:D14"/>
  <sheetViews>
    <sheetView zoomScale="145" zoomScaleNormal="145" workbookViewId="0">
      <selection activeCell="D4" sqref="D4"/>
    </sheetView>
  </sheetViews>
  <sheetFormatPr defaultRowHeight="14.4" x14ac:dyDescent="0.3"/>
  <cols>
    <col min="1" max="1" width="19.88671875" customWidth="1"/>
    <col min="2" max="4" width="14.33203125" customWidth="1"/>
  </cols>
  <sheetData>
    <row r="1" spans="1:4" x14ac:dyDescent="0.3">
      <c r="A1" s="13" t="s">
        <v>35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Filter with 1 criteria</v>
      </c>
      <c r="D2" t="s">
        <v>306</v>
      </c>
    </row>
    <row r="4" spans="1:4" x14ac:dyDescent="0.3">
      <c r="A4" s="21" t="s">
        <v>71</v>
      </c>
      <c r="B4" s="21" t="s">
        <v>72</v>
      </c>
      <c r="C4" s="21" t="s">
        <v>73</v>
      </c>
      <c r="D4" s="21" t="s">
        <v>74</v>
      </c>
    </row>
    <row r="5" spans="1:4" x14ac:dyDescent="0.3">
      <c r="A5" s="16" t="s">
        <v>83</v>
      </c>
      <c r="B5" s="16" t="s">
        <v>78</v>
      </c>
      <c r="C5" s="16" t="s">
        <v>80</v>
      </c>
      <c r="D5" s="16">
        <v>3.8</v>
      </c>
    </row>
    <row r="6" spans="1:4" x14ac:dyDescent="0.3">
      <c r="A6" s="16" t="s">
        <v>84</v>
      </c>
      <c r="B6" s="16" t="s">
        <v>79</v>
      </c>
      <c r="C6" s="16" t="s">
        <v>81</v>
      </c>
      <c r="D6" s="16">
        <v>2.7</v>
      </c>
    </row>
    <row r="7" spans="1:4" x14ac:dyDescent="0.3">
      <c r="A7" s="16" t="s">
        <v>85</v>
      </c>
      <c r="B7" s="16" t="s">
        <v>78</v>
      </c>
      <c r="C7" s="16" t="s">
        <v>80</v>
      </c>
      <c r="D7" s="16">
        <v>2.5</v>
      </c>
    </row>
    <row r="8" spans="1:4" x14ac:dyDescent="0.3">
      <c r="A8" s="16" t="s">
        <v>86</v>
      </c>
      <c r="B8" s="16" t="s">
        <v>79</v>
      </c>
      <c r="C8" s="16" t="s">
        <v>81</v>
      </c>
      <c r="D8" s="16">
        <v>3</v>
      </c>
    </row>
    <row r="9" spans="1:4" x14ac:dyDescent="0.3">
      <c r="A9" s="16" t="s">
        <v>87</v>
      </c>
      <c r="B9" s="16" t="s">
        <v>78</v>
      </c>
      <c r="C9" s="16" t="s">
        <v>80</v>
      </c>
      <c r="D9" s="16">
        <v>3.9</v>
      </c>
    </row>
    <row r="10" spans="1:4" x14ac:dyDescent="0.3">
      <c r="A10" s="16" t="s">
        <v>88</v>
      </c>
      <c r="B10" s="16" t="s">
        <v>78</v>
      </c>
      <c r="C10" s="16" t="s">
        <v>81</v>
      </c>
      <c r="D10" s="16">
        <v>4</v>
      </c>
    </row>
    <row r="11" spans="1:4" x14ac:dyDescent="0.3">
      <c r="A11" s="16" t="s">
        <v>89</v>
      </c>
      <c r="B11" s="16" t="s">
        <v>79</v>
      </c>
      <c r="C11" s="16" t="s">
        <v>80</v>
      </c>
      <c r="D11" s="16">
        <v>3.4</v>
      </c>
    </row>
    <row r="12" spans="1:4" x14ac:dyDescent="0.3">
      <c r="A12" s="16" t="s">
        <v>90</v>
      </c>
      <c r="B12" s="16" t="s">
        <v>79</v>
      </c>
      <c r="C12" s="16" t="s">
        <v>81</v>
      </c>
      <c r="D12" s="16">
        <v>2.5</v>
      </c>
    </row>
    <row r="13" spans="1:4" x14ac:dyDescent="0.3">
      <c r="A13" s="16" t="s">
        <v>91</v>
      </c>
      <c r="B13" s="16" t="s">
        <v>78</v>
      </c>
      <c r="C13" s="16" t="s">
        <v>81</v>
      </c>
      <c r="D13" s="16">
        <v>2.4</v>
      </c>
    </row>
    <row r="14" spans="1:4" x14ac:dyDescent="0.3">
      <c r="A14" s="16" t="s">
        <v>92</v>
      </c>
      <c r="B14" s="16" t="s">
        <v>79</v>
      </c>
      <c r="C14" s="16" t="s">
        <v>81</v>
      </c>
      <c r="D14" s="16">
        <v>1.6</v>
      </c>
    </row>
  </sheetData>
  <hyperlinks>
    <hyperlink ref="A1" location="Topics!B11" display="Home" xr:uid="{00000000-0004-0000-06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00FF"/>
  </sheetPr>
  <dimension ref="A1:D14"/>
  <sheetViews>
    <sheetView zoomScale="145" zoomScaleNormal="145" workbookViewId="0">
      <selection activeCell="A4" sqref="A4:D14"/>
    </sheetView>
  </sheetViews>
  <sheetFormatPr defaultRowHeight="14.4" x14ac:dyDescent="0.3"/>
  <cols>
    <col min="1" max="1" width="19.88671875" customWidth="1"/>
    <col min="2" max="4" width="14.33203125" customWidth="1"/>
  </cols>
  <sheetData>
    <row r="1" spans="1:4" x14ac:dyDescent="0.3">
      <c r="A1" s="13" t="s">
        <v>35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Filter with 2 criteria or more</v>
      </c>
    </row>
    <row r="4" spans="1:4" x14ac:dyDescent="0.3">
      <c r="A4" s="21" t="s">
        <v>71</v>
      </c>
      <c r="B4" s="21" t="s">
        <v>72</v>
      </c>
      <c r="C4" s="21" t="s">
        <v>73</v>
      </c>
      <c r="D4" s="21" t="s">
        <v>74</v>
      </c>
    </row>
    <row r="5" spans="1:4" x14ac:dyDescent="0.3">
      <c r="A5" s="16" t="s">
        <v>83</v>
      </c>
      <c r="B5" s="16" t="s">
        <v>78</v>
      </c>
      <c r="C5" s="16" t="s">
        <v>80</v>
      </c>
      <c r="D5" s="16">
        <v>3.8</v>
      </c>
    </row>
    <row r="6" spans="1:4" x14ac:dyDescent="0.3">
      <c r="A6" s="16" t="s">
        <v>84</v>
      </c>
      <c r="B6" s="16" t="s">
        <v>79</v>
      </c>
      <c r="C6" s="16" t="s">
        <v>81</v>
      </c>
      <c r="D6" s="16">
        <v>2.7</v>
      </c>
    </row>
    <row r="7" spans="1:4" x14ac:dyDescent="0.3">
      <c r="A7" s="16" t="s">
        <v>85</v>
      </c>
      <c r="B7" s="16" t="s">
        <v>78</v>
      </c>
      <c r="C7" s="16" t="s">
        <v>80</v>
      </c>
      <c r="D7" s="16">
        <v>2.5</v>
      </c>
    </row>
    <row r="8" spans="1:4" x14ac:dyDescent="0.3">
      <c r="A8" s="16" t="s">
        <v>86</v>
      </c>
      <c r="B8" s="16" t="s">
        <v>79</v>
      </c>
      <c r="C8" s="16" t="s">
        <v>81</v>
      </c>
      <c r="D8" s="16">
        <v>3</v>
      </c>
    </row>
    <row r="9" spans="1:4" x14ac:dyDescent="0.3">
      <c r="A9" s="16" t="s">
        <v>87</v>
      </c>
      <c r="B9" s="16" t="s">
        <v>78</v>
      </c>
      <c r="C9" s="16" t="s">
        <v>80</v>
      </c>
      <c r="D9" s="16">
        <v>3.9</v>
      </c>
    </row>
    <row r="10" spans="1:4" x14ac:dyDescent="0.3">
      <c r="A10" s="16" t="s">
        <v>88</v>
      </c>
      <c r="B10" s="16" t="s">
        <v>78</v>
      </c>
      <c r="C10" s="16" t="s">
        <v>81</v>
      </c>
      <c r="D10" s="16">
        <v>4</v>
      </c>
    </row>
    <row r="11" spans="1:4" x14ac:dyDescent="0.3">
      <c r="A11" s="16" t="s">
        <v>89</v>
      </c>
      <c r="B11" s="16" t="s">
        <v>79</v>
      </c>
      <c r="C11" s="16" t="s">
        <v>80</v>
      </c>
      <c r="D11" s="16">
        <v>3.4</v>
      </c>
    </row>
    <row r="12" spans="1:4" x14ac:dyDescent="0.3">
      <c r="A12" s="16" t="s">
        <v>90</v>
      </c>
      <c r="B12" s="16" t="s">
        <v>79</v>
      </c>
      <c r="C12" s="16" t="s">
        <v>81</v>
      </c>
      <c r="D12" s="16">
        <v>2.5</v>
      </c>
    </row>
    <row r="13" spans="1:4" x14ac:dyDescent="0.3">
      <c r="A13" s="16" t="s">
        <v>91</v>
      </c>
      <c r="B13" s="16" t="s">
        <v>78</v>
      </c>
      <c r="C13" s="16" t="s">
        <v>81</v>
      </c>
      <c r="D13" s="16">
        <v>2.4</v>
      </c>
    </row>
    <row r="14" spans="1:4" x14ac:dyDescent="0.3">
      <c r="A14" s="16" t="s">
        <v>92</v>
      </c>
      <c r="B14" s="16" t="s">
        <v>79</v>
      </c>
      <c r="C14" s="16" t="s">
        <v>81</v>
      </c>
      <c r="D14" s="16">
        <v>1.6</v>
      </c>
    </row>
  </sheetData>
  <hyperlinks>
    <hyperlink ref="A1" location="Topics!B11" display="Home" xr:uid="{00000000-0004-0000-08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00FF"/>
  </sheetPr>
  <dimension ref="A1:D14"/>
  <sheetViews>
    <sheetView zoomScale="145" zoomScaleNormal="145" workbookViewId="0">
      <selection activeCell="A4" sqref="A4"/>
    </sheetView>
  </sheetViews>
  <sheetFormatPr defaultRowHeight="14.4" x14ac:dyDescent="0.3"/>
  <cols>
    <col min="1" max="1" width="19.88671875" customWidth="1"/>
    <col min="2" max="4" width="14.33203125" customWidth="1"/>
  </cols>
  <sheetData>
    <row r="1" spans="1:4" x14ac:dyDescent="0.3">
      <c r="A1" s="13" t="s">
        <v>35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Filter by color</v>
      </c>
    </row>
    <row r="4" spans="1:4" x14ac:dyDescent="0.3">
      <c r="A4" s="21" t="s">
        <v>71</v>
      </c>
      <c r="B4" s="21" t="s">
        <v>72</v>
      </c>
      <c r="C4" s="21" t="s">
        <v>73</v>
      </c>
      <c r="D4" s="21" t="s">
        <v>74</v>
      </c>
    </row>
    <row r="5" spans="1:4" x14ac:dyDescent="0.3">
      <c r="A5" s="16" t="s">
        <v>83</v>
      </c>
      <c r="B5" s="16" t="s">
        <v>78</v>
      </c>
      <c r="C5" s="16" t="s">
        <v>80</v>
      </c>
      <c r="D5" s="16">
        <v>3.8</v>
      </c>
    </row>
    <row r="6" spans="1:4" x14ac:dyDescent="0.3">
      <c r="A6" s="16" t="s">
        <v>84</v>
      </c>
      <c r="B6" s="16" t="s">
        <v>79</v>
      </c>
      <c r="C6" s="16" t="s">
        <v>81</v>
      </c>
      <c r="D6" s="16">
        <v>2.7</v>
      </c>
    </row>
    <row r="7" spans="1:4" x14ac:dyDescent="0.3">
      <c r="A7" s="16" t="s">
        <v>85</v>
      </c>
      <c r="B7" s="16" t="s">
        <v>78</v>
      </c>
      <c r="C7" s="16" t="s">
        <v>80</v>
      </c>
      <c r="D7" s="16">
        <v>2.5</v>
      </c>
    </row>
    <row r="8" spans="1:4" x14ac:dyDescent="0.3">
      <c r="A8" s="32" t="s">
        <v>86</v>
      </c>
      <c r="B8" s="16" t="s">
        <v>79</v>
      </c>
      <c r="C8" s="16" t="s">
        <v>81</v>
      </c>
      <c r="D8" s="16">
        <v>3</v>
      </c>
    </row>
    <row r="9" spans="1:4" x14ac:dyDescent="0.3">
      <c r="A9" s="16" t="s">
        <v>87</v>
      </c>
      <c r="B9" s="16" t="s">
        <v>78</v>
      </c>
      <c r="C9" s="16" t="s">
        <v>80</v>
      </c>
      <c r="D9" s="16">
        <v>3.9</v>
      </c>
    </row>
    <row r="10" spans="1:4" x14ac:dyDescent="0.3">
      <c r="A10" s="16" t="s">
        <v>88</v>
      </c>
      <c r="B10" s="16" t="s">
        <v>78</v>
      </c>
      <c r="C10" s="16" t="s">
        <v>81</v>
      </c>
      <c r="D10" s="16">
        <v>4</v>
      </c>
    </row>
    <row r="11" spans="1:4" x14ac:dyDescent="0.3">
      <c r="A11" s="16" t="s">
        <v>89</v>
      </c>
      <c r="B11" s="16" t="s">
        <v>79</v>
      </c>
      <c r="C11" s="16" t="s">
        <v>80</v>
      </c>
      <c r="D11" s="16">
        <v>3.4</v>
      </c>
    </row>
    <row r="12" spans="1:4" x14ac:dyDescent="0.3">
      <c r="A12" s="32" t="s">
        <v>90</v>
      </c>
      <c r="B12" s="16" t="s">
        <v>79</v>
      </c>
      <c r="C12" s="16" t="s">
        <v>81</v>
      </c>
      <c r="D12" s="16">
        <v>2.5</v>
      </c>
    </row>
    <row r="13" spans="1:4" x14ac:dyDescent="0.3">
      <c r="A13" s="16" t="s">
        <v>91</v>
      </c>
      <c r="B13" s="16" t="s">
        <v>78</v>
      </c>
      <c r="C13" s="16" t="s">
        <v>81</v>
      </c>
      <c r="D13" s="16">
        <v>2.4</v>
      </c>
    </row>
    <row r="14" spans="1:4" x14ac:dyDescent="0.3">
      <c r="A14" s="16" t="s">
        <v>92</v>
      </c>
      <c r="B14" s="16" t="s">
        <v>79</v>
      </c>
      <c r="C14" s="16" t="s">
        <v>81</v>
      </c>
      <c r="D14" s="16">
        <v>1.6</v>
      </c>
    </row>
  </sheetData>
  <hyperlinks>
    <hyperlink ref="A1" location="Topics!B11" display="Home" xr:uid="{00000000-0004-0000-09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0000FF"/>
  </sheetPr>
  <dimension ref="A1:I204"/>
  <sheetViews>
    <sheetView zoomScale="145" zoomScaleNormal="145" workbookViewId="0">
      <selection activeCell="A4" sqref="A4:G19"/>
    </sheetView>
  </sheetViews>
  <sheetFormatPr defaultRowHeight="14.4" x14ac:dyDescent="0.3"/>
  <cols>
    <col min="1" max="1" width="9.6640625" customWidth="1"/>
    <col min="2" max="2" width="4.44140625" bestFit="1" customWidth="1"/>
    <col min="3" max="3" width="10.88671875" bestFit="1" customWidth="1"/>
    <col min="4" max="4" width="16.6640625" bestFit="1" customWidth="1"/>
    <col min="5" max="5" width="12.6640625" bestFit="1" customWidth="1"/>
    <col min="6" max="6" width="9.44140625" bestFit="1" customWidth="1"/>
    <col min="7" max="7" width="7.44140625" bestFit="1" customWidth="1"/>
    <col min="8" max="8" width="5.5546875" bestFit="1" customWidth="1"/>
    <col min="9" max="9" width="8.5546875" bestFit="1" customWidth="1"/>
    <col min="10" max="10" width="10.109375" bestFit="1" customWidth="1"/>
  </cols>
  <sheetData>
    <row r="1" spans="1:9" x14ac:dyDescent="0.3">
      <c r="A1" s="13" t="s">
        <v>35</v>
      </c>
    </row>
    <row r="2" spans="1:9" ht="18" x14ac:dyDescent="0.35">
      <c r="A2" s="27" t="str">
        <f ca="1">"Topic: "&amp;INDEX(Topics!$A$12:$A$42,MATCH(REPLACE(CELL("filename",A1),1,SEARCH("]",CELL("filename",A1)),""),Topics!$C$12:$C$42,0))</f>
        <v>Topic: Filter Text, Numbers, Dates</v>
      </c>
    </row>
    <row r="4" spans="1:9" x14ac:dyDescent="0.3">
      <c r="A4" s="21" t="s">
        <v>133</v>
      </c>
      <c r="B4" s="21" t="s">
        <v>131</v>
      </c>
      <c r="C4" s="21" t="s">
        <v>109</v>
      </c>
      <c r="D4" s="21" t="s">
        <v>110</v>
      </c>
      <c r="E4" s="21" t="s">
        <v>132</v>
      </c>
      <c r="F4" s="21" t="s">
        <v>111</v>
      </c>
      <c r="G4" s="21" t="s">
        <v>112</v>
      </c>
      <c r="H4" s="21" t="s">
        <v>113</v>
      </c>
      <c r="I4" s="21" t="s">
        <v>114</v>
      </c>
    </row>
    <row r="5" spans="1:9" x14ac:dyDescent="0.3">
      <c r="A5" s="44">
        <v>41051</v>
      </c>
      <c r="B5" s="45">
        <v>21</v>
      </c>
      <c r="C5" s="45" t="s">
        <v>109</v>
      </c>
      <c r="D5" s="45" t="s">
        <v>115</v>
      </c>
      <c r="E5" s="45" t="s">
        <v>116</v>
      </c>
      <c r="F5" s="45" t="s">
        <v>117</v>
      </c>
      <c r="G5" s="46">
        <v>22.95</v>
      </c>
      <c r="H5" s="45">
        <v>2</v>
      </c>
      <c r="I5" s="46">
        <v>45.9</v>
      </c>
    </row>
    <row r="6" spans="1:9" x14ac:dyDescent="0.3">
      <c r="A6" s="44">
        <v>41089</v>
      </c>
      <c r="B6" s="45">
        <v>57</v>
      </c>
      <c r="C6" s="45" t="s">
        <v>109</v>
      </c>
      <c r="D6" s="45" t="s">
        <v>115</v>
      </c>
      <c r="E6" s="45" t="s">
        <v>118</v>
      </c>
      <c r="F6" s="45" t="s">
        <v>117</v>
      </c>
      <c r="G6" s="46">
        <v>19.95</v>
      </c>
      <c r="H6" s="45">
        <v>1</v>
      </c>
      <c r="I6" s="46">
        <v>19.95</v>
      </c>
    </row>
    <row r="7" spans="1:9" x14ac:dyDescent="0.3">
      <c r="A7" s="44">
        <v>41218</v>
      </c>
      <c r="B7" s="45">
        <v>25</v>
      </c>
      <c r="C7" s="45" t="s">
        <v>119</v>
      </c>
      <c r="D7" s="45" t="s">
        <v>115</v>
      </c>
      <c r="E7" s="45" t="s">
        <v>120</v>
      </c>
      <c r="F7" s="45" t="s">
        <v>121</v>
      </c>
      <c r="G7" s="46">
        <v>21.95</v>
      </c>
      <c r="H7" s="45">
        <v>1</v>
      </c>
      <c r="I7" s="46">
        <v>21.95</v>
      </c>
    </row>
    <row r="8" spans="1:9" x14ac:dyDescent="0.3">
      <c r="A8" s="44">
        <v>41152</v>
      </c>
      <c r="B8" s="45">
        <v>38</v>
      </c>
      <c r="C8" s="45" t="s">
        <v>119</v>
      </c>
      <c r="D8" s="45" t="s">
        <v>122</v>
      </c>
      <c r="E8" s="45" t="s">
        <v>118</v>
      </c>
      <c r="F8" s="45" t="s">
        <v>117</v>
      </c>
      <c r="G8" s="46">
        <v>19.95</v>
      </c>
      <c r="H8" s="45">
        <v>1</v>
      </c>
      <c r="I8" s="46">
        <v>19.95</v>
      </c>
    </row>
    <row r="9" spans="1:9" x14ac:dyDescent="0.3">
      <c r="A9" s="44">
        <v>41059</v>
      </c>
      <c r="B9" s="45">
        <v>22</v>
      </c>
      <c r="C9" s="45" t="s">
        <v>109</v>
      </c>
      <c r="D9" s="45" t="s">
        <v>123</v>
      </c>
      <c r="E9" s="45" t="s">
        <v>118</v>
      </c>
      <c r="F9" s="45" t="s">
        <v>117</v>
      </c>
      <c r="G9" s="46">
        <v>19.95</v>
      </c>
      <c r="H9" s="45">
        <v>4</v>
      </c>
      <c r="I9" s="46">
        <v>79.8</v>
      </c>
    </row>
    <row r="10" spans="1:9" x14ac:dyDescent="0.3">
      <c r="A10" s="44">
        <v>41187</v>
      </c>
      <c r="B10" s="45">
        <v>29</v>
      </c>
      <c r="C10" s="45" t="s">
        <v>109</v>
      </c>
      <c r="D10" s="45" t="s">
        <v>124</v>
      </c>
      <c r="E10" s="45" t="s">
        <v>118</v>
      </c>
      <c r="F10" s="45" t="s">
        <v>125</v>
      </c>
      <c r="G10" s="46">
        <v>19.95</v>
      </c>
      <c r="H10" s="45">
        <v>4</v>
      </c>
      <c r="I10" s="46">
        <v>79.8</v>
      </c>
    </row>
    <row r="11" spans="1:9" x14ac:dyDescent="0.3">
      <c r="A11" s="44">
        <v>40990</v>
      </c>
      <c r="B11" s="45">
        <v>18</v>
      </c>
      <c r="C11" s="45" t="s">
        <v>109</v>
      </c>
      <c r="D11" s="45" t="s">
        <v>123</v>
      </c>
      <c r="E11" s="45" t="s">
        <v>118</v>
      </c>
      <c r="F11" s="45" t="s">
        <v>117</v>
      </c>
      <c r="G11" s="46">
        <v>19.95</v>
      </c>
      <c r="H11" s="45">
        <v>3</v>
      </c>
      <c r="I11" s="46">
        <v>59.849999999999994</v>
      </c>
    </row>
    <row r="12" spans="1:9" x14ac:dyDescent="0.3">
      <c r="A12" s="44">
        <v>41074</v>
      </c>
      <c r="B12" s="45">
        <v>64</v>
      </c>
      <c r="C12" s="45" t="s">
        <v>119</v>
      </c>
      <c r="D12" s="45" t="s">
        <v>126</v>
      </c>
      <c r="E12" s="45" t="s">
        <v>118</v>
      </c>
      <c r="F12" s="45" t="s">
        <v>117</v>
      </c>
      <c r="G12" s="46">
        <v>19.95</v>
      </c>
      <c r="H12" s="45">
        <v>7</v>
      </c>
      <c r="I12" s="46">
        <v>139.65</v>
      </c>
    </row>
    <row r="13" spans="1:9" x14ac:dyDescent="0.3">
      <c r="A13" s="44">
        <v>41038</v>
      </c>
      <c r="B13" s="45">
        <v>27</v>
      </c>
      <c r="C13" s="45" t="s">
        <v>119</v>
      </c>
      <c r="D13" s="45" t="s">
        <v>122</v>
      </c>
      <c r="E13" s="45" t="s">
        <v>118</v>
      </c>
      <c r="F13" s="45" t="s">
        <v>117</v>
      </c>
      <c r="G13" s="46">
        <v>19.95</v>
      </c>
      <c r="H13" s="45">
        <v>6</v>
      </c>
      <c r="I13" s="46">
        <v>119.69999999999999</v>
      </c>
    </row>
    <row r="14" spans="1:9" x14ac:dyDescent="0.3">
      <c r="A14" s="44">
        <v>41149</v>
      </c>
      <c r="B14" s="45">
        <v>22</v>
      </c>
      <c r="C14" s="45" t="s">
        <v>119</v>
      </c>
      <c r="D14" s="45" t="s">
        <v>123</v>
      </c>
      <c r="E14" s="45" t="s">
        <v>120</v>
      </c>
      <c r="F14" s="45" t="s">
        <v>117</v>
      </c>
      <c r="G14" s="46">
        <v>21.95</v>
      </c>
      <c r="H14" s="45">
        <v>2</v>
      </c>
      <c r="I14" s="46">
        <v>43.9</v>
      </c>
    </row>
    <row r="15" spans="1:9" x14ac:dyDescent="0.3">
      <c r="A15" s="44">
        <v>41243</v>
      </c>
      <c r="B15" s="45">
        <v>39</v>
      </c>
      <c r="C15" s="45" t="s">
        <v>109</v>
      </c>
      <c r="D15" s="45" t="s">
        <v>124</v>
      </c>
      <c r="E15" s="45" t="s">
        <v>120</v>
      </c>
      <c r="F15" s="45" t="s">
        <v>127</v>
      </c>
      <c r="G15" s="46">
        <v>21.95</v>
      </c>
      <c r="H15" s="45">
        <v>2</v>
      </c>
      <c r="I15" s="46">
        <v>43.9</v>
      </c>
    </row>
    <row r="16" spans="1:9" x14ac:dyDescent="0.3">
      <c r="A16" s="44">
        <v>41165</v>
      </c>
      <c r="B16" s="45">
        <v>61</v>
      </c>
      <c r="C16" s="45" t="s">
        <v>119</v>
      </c>
      <c r="D16" s="45" t="s">
        <v>115</v>
      </c>
      <c r="E16" s="45" t="s">
        <v>118</v>
      </c>
      <c r="F16" s="45" t="s">
        <v>127</v>
      </c>
      <c r="G16" s="46">
        <v>19.95</v>
      </c>
      <c r="H16" s="45">
        <v>5</v>
      </c>
      <c r="I16" s="46">
        <v>99.75</v>
      </c>
    </row>
    <row r="17" spans="1:9" x14ac:dyDescent="0.3">
      <c r="A17" s="44">
        <v>41205</v>
      </c>
      <c r="B17" s="45">
        <v>18</v>
      </c>
      <c r="C17" s="45" t="s">
        <v>119</v>
      </c>
      <c r="D17" s="45" t="s">
        <v>123</v>
      </c>
      <c r="E17" s="45" t="s">
        <v>116</v>
      </c>
      <c r="F17" s="45" t="s">
        <v>127</v>
      </c>
      <c r="G17" s="46">
        <v>22.95</v>
      </c>
      <c r="H17" s="45">
        <v>5</v>
      </c>
      <c r="I17" s="46">
        <v>114.75</v>
      </c>
    </row>
    <row r="18" spans="1:9" x14ac:dyDescent="0.3">
      <c r="A18" s="44">
        <v>41171</v>
      </c>
      <c r="B18" s="45">
        <v>22</v>
      </c>
      <c r="C18" s="45" t="s">
        <v>119</v>
      </c>
      <c r="D18" s="45" t="s">
        <v>124</v>
      </c>
      <c r="E18" s="45" t="s">
        <v>116</v>
      </c>
      <c r="F18" s="45" t="s">
        <v>117</v>
      </c>
      <c r="G18" s="46">
        <v>22.95</v>
      </c>
      <c r="H18" s="45">
        <v>4</v>
      </c>
      <c r="I18" s="46">
        <v>91.8</v>
      </c>
    </row>
    <row r="19" spans="1:9" x14ac:dyDescent="0.3">
      <c r="A19" s="44">
        <v>41172</v>
      </c>
      <c r="B19" s="45">
        <v>52</v>
      </c>
      <c r="C19" s="45" t="s">
        <v>119</v>
      </c>
      <c r="D19" s="45" t="s">
        <v>122</v>
      </c>
      <c r="E19" s="45" t="s">
        <v>116</v>
      </c>
      <c r="F19" s="45" t="s">
        <v>127</v>
      </c>
      <c r="G19" s="46">
        <v>22.95</v>
      </c>
      <c r="H19" s="45">
        <v>5</v>
      </c>
      <c r="I19" s="46">
        <v>114.75</v>
      </c>
    </row>
    <row r="20" spans="1:9" x14ac:dyDescent="0.3">
      <c r="A20" s="44">
        <v>40926</v>
      </c>
      <c r="B20" s="45">
        <v>22</v>
      </c>
      <c r="C20" s="45" t="s">
        <v>109</v>
      </c>
      <c r="D20" s="45" t="s">
        <v>123</v>
      </c>
      <c r="E20" s="45" t="s">
        <v>116</v>
      </c>
      <c r="F20" s="45" t="s">
        <v>117</v>
      </c>
      <c r="G20" s="46">
        <v>22.95</v>
      </c>
      <c r="H20" s="45">
        <v>1</v>
      </c>
      <c r="I20" s="46">
        <v>22.95</v>
      </c>
    </row>
    <row r="21" spans="1:9" x14ac:dyDescent="0.3">
      <c r="A21" s="44">
        <v>41118</v>
      </c>
      <c r="B21" s="45">
        <v>18</v>
      </c>
      <c r="C21" s="45" t="s">
        <v>119</v>
      </c>
      <c r="D21" s="45" t="s">
        <v>126</v>
      </c>
      <c r="E21" s="45" t="s">
        <v>128</v>
      </c>
      <c r="F21" s="45" t="s">
        <v>117</v>
      </c>
      <c r="G21" s="46">
        <v>24.95</v>
      </c>
      <c r="H21" s="45">
        <v>5</v>
      </c>
      <c r="I21" s="46">
        <v>124.75</v>
      </c>
    </row>
    <row r="22" spans="1:9" x14ac:dyDescent="0.3">
      <c r="A22" s="44">
        <v>41066</v>
      </c>
      <c r="B22" s="45">
        <v>55</v>
      </c>
      <c r="C22" s="45" t="s">
        <v>119</v>
      </c>
      <c r="D22" s="45" t="s">
        <v>124</v>
      </c>
      <c r="E22" s="45" t="s">
        <v>118</v>
      </c>
      <c r="F22" s="45" t="s">
        <v>125</v>
      </c>
      <c r="G22" s="46">
        <v>19.95</v>
      </c>
      <c r="H22" s="45">
        <v>1</v>
      </c>
      <c r="I22" s="46">
        <v>19.95</v>
      </c>
    </row>
    <row r="23" spans="1:9" x14ac:dyDescent="0.3">
      <c r="A23" s="44">
        <v>40938</v>
      </c>
      <c r="B23" s="45">
        <v>20</v>
      </c>
      <c r="C23" s="45" t="s">
        <v>119</v>
      </c>
      <c r="D23" s="45" t="s">
        <v>124</v>
      </c>
      <c r="E23" s="45" t="s">
        <v>120</v>
      </c>
      <c r="F23" s="45" t="s">
        <v>121</v>
      </c>
      <c r="G23" s="46">
        <v>21.95</v>
      </c>
      <c r="H23" s="45">
        <v>4</v>
      </c>
      <c r="I23" s="46">
        <v>87.8</v>
      </c>
    </row>
    <row r="24" spans="1:9" x14ac:dyDescent="0.3">
      <c r="A24" s="44">
        <v>41191</v>
      </c>
      <c r="B24" s="45">
        <v>42</v>
      </c>
      <c r="C24" s="45" t="s">
        <v>109</v>
      </c>
      <c r="D24" s="45" t="s">
        <v>124</v>
      </c>
      <c r="E24" s="45" t="s">
        <v>116</v>
      </c>
      <c r="F24" s="45" t="s">
        <v>127</v>
      </c>
      <c r="G24" s="46">
        <v>22.95</v>
      </c>
      <c r="H24" s="45">
        <v>1</v>
      </c>
      <c r="I24" s="46">
        <v>22.95</v>
      </c>
    </row>
    <row r="25" spans="1:9" x14ac:dyDescent="0.3">
      <c r="A25" s="44">
        <v>41094</v>
      </c>
      <c r="B25" s="45">
        <v>30</v>
      </c>
      <c r="C25" s="45" t="s">
        <v>119</v>
      </c>
      <c r="D25" s="45" t="s">
        <v>124</v>
      </c>
      <c r="E25" s="45" t="s">
        <v>129</v>
      </c>
      <c r="F25" s="45" t="s">
        <v>125</v>
      </c>
      <c r="G25" s="46">
        <v>29.95</v>
      </c>
      <c r="H25" s="45">
        <v>10</v>
      </c>
      <c r="I25" s="46">
        <v>299.5</v>
      </c>
    </row>
    <row r="26" spans="1:9" x14ac:dyDescent="0.3">
      <c r="A26" s="44">
        <v>41221</v>
      </c>
      <c r="B26" s="45">
        <v>64</v>
      </c>
      <c r="C26" s="45" t="s">
        <v>109</v>
      </c>
      <c r="D26" s="45" t="s">
        <v>123</v>
      </c>
      <c r="E26" s="45" t="s">
        <v>118</v>
      </c>
      <c r="F26" s="45" t="s">
        <v>127</v>
      </c>
      <c r="G26" s="46">
        <v>19.95</v>
      </c>
      <c r="H26" s="45">
        <v>1</v>
      </c>
      <c r="I26" s="46">
        <v>19.95</v>
      </c>
    </row>
    <row r="27" spans="1:9" x14ac:dyDescent="0.3">
      <c r="A27" s="44">
        <v>41069</v>
      </c>
      <c r="B27" s="45">
        <v>63</v>
      </c>
      <c r="C27" s="45" t="s">
        <v>109</v>
      </c>
      <c r="D27" s="45" t="s">
        <v>124</v>
      </c>
      <c r="E27" s="45" t="s">
        <v>118</v>
      </c>
      <c r="F27" s="45" t="s">
        <v>127</v>
      </c>
      <c r="G27" s="46">
        <v>19.95</v>
      </c>
      <c r="H27" s="45">
        <v>5</v>
      </c>
      <c r="I27" s="46">
        <v>99.75</v>
      </c>
    </row>
    <row r="28" spans="1:9" x14ac:dyDescent="0.3">
      <c r="A28" s="44">
        <v>40985</v>
      </c>
      <c r="B28" s="45">
        <v>41</v>
      </c>
      <c r="C28" s="45" t="s">
        <v>109</v>
      </c>
      <c r="D28" s="45" t="s">
        <v>115</v>
      </c>
      <c r="E28" s="45" t="s">
        <v>118</v>
      </c>
      <c r="F28" s="45" t="s">
        <v>125</v>
      </c>
      <c r="G28" s="46">
        <v>19.95</v>
      </c>
      <c r="H28" s="45">
        <v>2</v>
      </c>
      <c r="I28" s="46">
        <v>39.9</v>
      </c>
    </row>
    <row r="29" spans="1:9" x14ac:dyDescent="0.3">
      <c r="A29" s="44">
        <v>41006</v>
      </c>
      <c r="B29" s="45">
        <v>21</v>
      </c>
      <c r="C29" s="45" t="s">
        <v>119</v>
      </c>
      <c r="D29" s="45" t="s">
        <v>123</v>
      </c>
      <c r="E29" s="45" t="s">
        <v>120</v>
      </c>
      <c r="F29" s="45" t="s">
        <v>121</v>
      </c>
      <c r="G29" s="46">
        <v>21.95</v>
      </c>
      <c r="H29" s="45">
        <v>3</v>
      </c>
      <c r="I29" s="46">
        <v>65.849999999999994</v>
      </c>
    </row>
    <row r="30" spans="1:9" x14ac:dyDescent="0.3">
      <c r="A30" s="44">
        <v>40913</v>
      </c>
      <c r="B30" s="45">
        <v>63</v>
      </c>
      <c r="C30" s="45" t="s">
        <v>119</v>
      </c>
      <c r="D30" s="45" t="s">
        <v>124</v>
      </c>
      <c r="E30" s="45" t="s">
        <v>128</v>
      </c>
      <c r="F30" s="45" t="s">
        <v>121</v>
      </c>
      <c r="G30" s="46">
        <v>24.95</v>
      </c>
      <c r="H30" s="45">
        <v>1</v>
      </c>
      <c r="I30" s="46">
        <v>24.95</v>
      </c>
    </row>
    <row r="31" spans="1:9" x14ac:dyDescent="0.3">
      <c r="A31" s="44">
        <v>41112</v>
      </c>
      <c r="B31" s="45">
        <v>54</v>
      </c>
      <c r="C31" s="45" t="s">
        <v>119</v>
      </c>
      <c r="D31" s="45" t="s">
        <v>122</v>
      </c>
      <c r="E31" s="45" t="s">
        <v>120</v>
      </c>
      <c r="F31" s="45" t="s">
        <v>117</v>
      </c>
      <c r="G31" s="46">
        <v>21.95</v>
      </c>
      <c r="H31" s="45">
        <v>1</v>
      </c>
      <c r="I31" s="46">
        <v>21.95</v>
      </c>
    </row>
    <row r="32" spans="1:9" x14ac:dyDescent="0.3">
      <c r="A32" s="44">
        <v>41225</v>
      </c>
      <c r="B32" s="45">
        <v>18</v>
      </c>
      <c r="C32" s="45" t="s">
        <v>119</v>
      </c>
      <c r="D32" s="45" t="s">
        <v>122</v>
      </c>
      <c r="E32" s="45" t="s">
        <v>118</v>
      </c>
      <c r="F32" s="45" t="s">
        <v>117</v>
      </c>
      <c r="G32" s="46">
        <v>19.95</v>
      </c>
      <c r="H32" s="45">
        <v>1</v>
      </c>
      <c r="I32" s="46">
        <v>19.95</v>
      </c>
    </row>
    <row r="33" spans="1:9" x14ac:dyDescent="0.3">
      <c r="A33" s="44">
        <v>41040</v>
      </c>
      <c r="B33" s="45">
        <v>26</v>
      </c>
      <c r="C33" s="45" t="s">
        <v>119</v>
      </c>
      <c r="D33" s="45" t="s">
        <v>126</v>
      </c>
      <c r="E33" s="45" t="s">
        <v>116</v>
      </c>
      <c r="F33" s="45" t="s">
        <v>117</v>
      </c>
      <c r="G33" s="46">
        <v>22.95</v>
      </c>
      <c r="H33" s="45">
        <v>4</v>
      </c>
      <c r="I33" s="46">
        <v>91.8</v>
      </c>
    </row>
    <row r="34" spans="1:9" x14ac:dyDescent="0.3">
      <c r="A34" s="44">
        <v>41013</v>
      </c>
      <c r="B34" s="45">
        <v>59</v>
      </c>
      <c r="C34" s="45" t="s">
        <v>119</v>
      </c>
      <c r="D34" s="45" t="s">
        <v>124</v>
      </c>
      <c r="E34" s="45" t="s">
        <v>120</v>
      </c>
      <c r="F34" s="45" t="s">
        <v>127</v>
      </c>
      <c r="G34" s="46">
        <v>21.95</v>
      </c>
      <c r="H34" s="45">
        <v>3</v>
      </c>
      <c r="I34" s="46">
        <v>65.849999999999994</v>
      </c>
    </row>
    <row r="35" spans="1:9" x14ac:dyDescent="0.3">
      <c r="A35" s="44">
        <v>41132</v>
      </c>
      <c r="B35" s="45">
        <v>30</v>
      </c>
      <c r="C35" s="45" t="s">
        <v>119</v>
      </c>
      <c r="D35" s="45" t="s">
        <v>126</v>
      </c>
      <c r="E35" s="45" t="s">
        <v>118</v>
      </c>
      <c r="F35" s="45" t="s">
        <v>117</v>
      </c>
      <c r="G35" s="46">
        <v>19.95</v>
      </c>
      <c r="H35" s="45">
        <v>2</v>
      </c>
      <c r="I35" s="46">
        <v>39.9</v>
      </c>
    </row>
    <row r="36" spans="1:9" x14ac:dyDescent="0.3">
      <c r="A36" s="44">
        <v>41227</v>
      </c>
      <c r="B36" s="45">
        <v>64</v>
      </c>
      <c r="C36" s="45" t="s">
        <v>119</v>
      </c>
      <c r="D36" s="45" t="s">
        <v>123</v>
      </c>
      <c r="E36" s="45" t="s">
        <v>120</v>
      </c>
      <c r="F36" s="45" t="s">
        <v>117</v>
      </c>
      <c r="G36" s="46">
        <v>21.95</v>
      </c>
      <c r="H36" s="45">
        <v>2</v>
      </c>
      <c r="I36" s="46">
        <v>43.9</v>
      </c>
    </row>
    <row r="37" spans="1:9" x14ac:dyDescent="0.3">
      <c r="A37" s="44">
        <v>40929</v>
      </c>
      <c r="B37" s="45">
        <v>30</v>
      </c>
      <c r="C37" s="45" t="s">
        <v>119</v>
      </c>
      <c r="D37" s="45" t="s">
        <v>124</v>
      </c>
      <c r="E37" s="45" t="s">
        <v>120</v>
      </c>
      <c r="F37" s="45" t="s">
        <v>117</v>
      </c>
      <c r="G37" s="46">
        <v>21.95</v>
      </c>
      <c r="H37" s="45">
        <v>3</v>
      </c>
      <c r="I37" s="46">
        <v>65.849999999999994</v>
      </c>
    </row>
    <row r="38" spans="1:9" x14ac:dyDescent="0.3">
      <c r="A38" s="44">
        <v>41011</v>
      </c>
      <c r="B38" s="45">
        <v>41</v>
      </c>
      <c r="C38" s="45" t="s">
        <v>109</v>
      </c>
      <c r="D38" s="45" t="s">
        <v>122</v>
      </c>
      <c r="E38" s="45" t="s">
        <v>120</v>
      </c>
      <c r="F38" s="45" t="s">
        <v>117</v>
      </c>
      <c r="G38" s="46">
        <v>21.95</v>
      </c>
      <c r="H38" s="45">
        <v>2</v>
      </c>
      <c r="I38" s="46">
        <v>43.9</v>
      </c>
    </row>
    <row r="39" spans="1:9" x14ac:dyDescent="0.3">
      <c r="A39" s="44">
        <v>41064</v>
      </c>
      <c r="B39" s="45">
        <v>23</v>
      </c>
      <c r="C39" s="45" t="s">
        <v>109</v>
      </c>
      <c r="D39" s="45" t="s">
        <v>115</v>
      </c>
      <c r="E39" s="45" t="s">
        <v>118</v>
      </c>
      <c r="F39" s="45" t="s">
        <v>125</v>
      </c>
      <c r="G39" s="46">
        <v>19.95</v>
      </c>
      <c r="H39" s="45">
        <v>5</v>
      </c>
      <c r="I39" s="46">
        <v>99.75</v>
      </c>
    </row>
    <row r="40" spans="1:9" x14ac:dyDescent="0.3">
      <c r="A40" s="44">
        <v>41201</v>
      </c>
      <c r="B40" s="45">
        <v>52</v>
      </c>
      <c r="C40" s="45" t="s">
        <v>109</v>
      </c>
      <c r="D40" s="45" t="s">
        <v>123</v>
      </c>
      <c r="E40" s="45" t="s">
        <v>129</v>
      </c>
      <c r="F40" s="45" t="s">
        <v>117</v>
      </c>
      <c r="G40" s="46">
        <v>29.95</v>
      </c>
      <c r="H40" s="45">
        <v>1</v>
      </c>
      <c r="I40" s="46">
        <v>29.95</v>
      </c>
    </row>
    <row r="41" spans="1:9" x14ac:dyDescent="0.3">
      <c r="A41" s="44">
        <v>41159</v>
      </c>
      <c r="B41" s="45">
        <v>18</v>
      </c>
      <c r="C41" s="45" t="s">
        <v>119</v>
      </c>
      <c r="D41" s="45" t="s">
        <v>124</v>
      </c>
      <c r="E41" s="45" t="s">
        <v>120</v>
      </c>
      <c r="F41" s="45" t="s">
        <v>117</v>
      </c>
      <c r="G41" s="46">
        <v>21.95</v>
      </c>
      <c r="H41" s="45">
        <v>3</v>
      </c>
      <c r="I41" s="46">
        <v>65.849999999999994</v>
      </c>
    </row>
    <row r="42" spans="1:9" x14ac:dyDescent="0.3">
      <c r="A42" s="44">
        <v>41171</v>
      </c>
      <c r="B42" s="45">
        <v>32</v>
      </c>
      <c r="C42" s="45" t="s">
        <v>119</v>
      </c>
      <c r="D42" s="45" t="s">
        <v>124</v>
      </c>
      <c r="E42" s="45" t="s">
        <v>116</v>
      </c>
      <c r="F42" s="45" t="s">
        <v>117</v>
      </c>
      <c r="G42" s="46">
        <v>22.95</v>
      </c>
      <c r="H42" s="45">
        <v>1</v>
      </c>
      <c r="I42" s="46">
        <v>22.95</v>
      </c>
    </row>
    <row r="43" spans="1:9" x14ac:dyDescent="0.3">
      <c r="A43" s="44">
        <v>40925</v>
      </c>
      <c r="B43" s="45">
        <v>22</v>
      </c>
      <c r="C43" s="45" t="s">
        <v>109</v>
      </c>
      <c r="D43" s="45" t="s">
        <v>122</v>
      </c>
      <c r="E43" s="45" t="s">
        <v>118</v>
      </c>
      <c r="F43" s="45" t="s">
        <v>127</v>
      </c>
      <c r="G43" s="46">
        <v>19.95</v>
      </c>
      <c r="H43" s="45">
        <v>1</v>
      </c>
      <c r="I43" s="46">
        <v>19.95</v>
      </c>
    </row>
    <row r="44" spans="1:9" x14ac:dyDescent="0.3">
      <c r="A44" s="44">
        <v>40983</v>
      </c>
      <c r="B44" s="45">
        <v>29</v>
      </c>
      <c r="C44" s="45" t="s">
        <v>109</v>
      </c>
      <c r="D44" s="45" t="s">
        <v>124</v>
      </c>
      <c r="E44" s="45" t="s">
        <v>118</v>
      </c>
      <c r="F44" s="45" t="s">
        <v>125</v>
      </c>
      <c r="G44" s="46">
        <v>19.95</v>
      </c>
      <c r="H44" s="45">
        <v>5</v>
      </c>
      <c r="I44" s="46">
        <v>99.75</v>
      </c>
    </row>
    <row r="45" spans="1:9" x14ac:dyDescent="0.3">
      <c r="A45" s="44">
        <v>41259</v>
      </c>
      <c r="B45" s="45">
        <v>25</v>
      </c>
      <c r="C45" s="45" t="s">
        <v>119</v>
      </c>
      <c r="D45" s="45" t="s">
        <v>115</v>
      </c>
      <c r="E45" s="45" t="s">
        <v>130</v>
      </c>
      <c r="F45" s="45" t="s">
        <v>127</v>
      </c>
      <c r="G45" s="46">
        <v>24.95</v>
      </c>
      <c r="H45" s="45">
        <v>5</v>
      </c>
      <c r="I45" s="46">
        <v>124.75</v>
      </c>
    </row>
    <row r="46" spans="1:9" x14ac:dyDescent="0.3">
      <c r="A46" s="44">
        <v>41098</v>
      </c>
      <c r="B46" s="45">
        <v>63</v>
      </c>
      <c r="C46" s="45" t="s">
        <v>119</v>
      </c>
      <c r="D46" s="45" t="s">
        <v>124</v>
      </c>
      <c r="E46" s="45" t="s">
        <v>120</v>
      </c>
      <c r="F46" s="45" t="s">
        <v>117</v>
      </c>
      <c r="G46" s="46">
        <v>21.95</v>
      </c>
      <c r="H46" s="45">
        <v>1</v>
      </c>
      <c r="I46" s="46">
        <v>21.95</v>
      </c>
    </row>
    <row r="47" spans="1:9" x14ac:dyDescent="0.3">
      <c r="A47" s="44">
        <v>41042</v>
      </c>
      <c r="B47" s="45">
        <v>26</v>
      </c>
      <c r="C47" s="45" t="s">
        <v>119</v>
      </c>
      <c r="D47" s="45" t="s">
        <v>115</v>
      </c>
      <c r="E47" s="45" t="s">
        <v>128</v>
      </c>
      <c r="F47" s="45" t="s">
        <v>127</v>
      </c>
      <c r="G47" s="46">
        <v>24.95</v>
      </c>
      <c r="H47" s="45">
        <v>7</v>
      </c>
      <c r="I47" s="46">
        <v>174.65</v>
      </c>
    </row>
    <row r="48" spans="1:9" x14ac:dyDescent="0.3">
      <c r="A48" s="44">
        <v>40971</v>
      </c>
      <c r="B48" s="45">
        <v>31</v>
      </c>
      <c r="C48" s="45" t="s">
        <v>109</v>
      </c>
      <c r="D48" s="45" t="s">
        <v>126</v>
      </c>
      <c r="E48" s="45" t="s">
        <v>129</v>
      </c>
      <c r="F48" s="45" t="s">
        <v>117</v>
      </c>
      <c r="G48" s="46">
        <v>29.95</v>
      </c>
      <c r="H48" s="45">
        <v>1</v>
      </c>
      <c r="I48" s="46">
        <v>29.95</v>
      </c>
    </row>
    <row r="49" spans="1:9" x14ac:dyDescent="0.3">
      <c r="A49" s="44">
        <v>41029</v>
      </c>
      <c r="B49" s="45">
        <v>23</v>
      </c>
      <c r="C49" s="45" t="s">
        <v>119</v>
      </c>
      <c r="D49" s="45" t="s">
        <v>124</v>
      </c>
      <c r="E49" s="45" t="s">
        <v>129</v>
      </c>
      <c r="F49" s="45" t="s">
        <v>127</v>
      </c>
      <c r="G49" s="46">
        <v>29.95</v>
      </c>
      <c r="H49" s="45">
        <v>5</v>
      </c>
      <c r="I49" s="46">
        <v>149.75</v>
      </c>
    </row>
    <row r="50" spans="1:9" x14ac:dyDescent="0.3">
      <c r="A50" s="44">
        <v>41101</v>
      </c>
      <c r="B50" s="45">
        <v>42</v>
      </c>
      <c r="C50" s="45" t="s">
        <v>109</v>
      </c>
      <c r="D50" s="45" t="s">
        <v>124</v>
      </c>
      <c r="E50" s="45" t="s">
        <v>129</v>
      </c>
      <c r="F50" s="45" t="s">
        <v>127</v>
      </c>
      <c r="G50" s="46">
        <v>29.95</v>
      </c>
      <c r="H50" s="45">
        <v>1</v>
      </c>
      <c r="I50" s="46">
        <v>29.95</v>
      </c>
    </row>
    <row r="51" spans="1:9" x14ac:dyDescent="0.3">
      <c r="A51" s="44">
        <v>40990</v>
      </c>
      <c r="B51" s="45">
        <v>28</v>
      </c>
      <c r="C51" s="45" t="s">
        <v>109</v>
      </c>
      <c r="D51" s="45" t="s">
        <v>123</v>
      </c>
      <c r="E51" s="45" t="s">
        <v>116</v>
      </c>
      <c r="F51" s="45" t="s">
        <v>121</v>
      </c>
      <c r="G51" s="46">
        <v>22.95</v>
      </c>
      <c r="H51" s="45">
        <v>2</v>
      </c>
      <c r="I51" s="46">
        <v>45.9</v>
      </c>
    </row>
    <row r="52" spans="1:9" x14ac:dyDescent="0.3">
      <c r="A52" s="44">
        <v>41148</v>
      </c>
      <c r="B52" s="45">
        <v>23</v>
      </c>
      <c r="C52" s="45" t="s">
        <v>119</v>
      </c>
      <c r="D52" s="45" t="s">
        <v>123</v>
      </c>
      <c r="E52" s="45" t="s">
        <v>116</v>
      </c>
      <c r="F52" s="45" t="s">
        <v>117</v>
      </c>
      <c r="G52" s="46">
        <v>22.95</v>
      </c>
      <c r="H52" s="45">
        <v>7</v>
      </c>
      <c r="I52" s="46">
        <v>160.65</v>
      </c>
    </row>
    <row r="53" spans="1:9" x14ac:dyDescent="0.3">
      <c r="A53" s="44">
        <v>41229</v>
      </c>
      <c r="B53" s="45">
        <v>19</v>
      </c>
      <c r="C53" s="45" t="s">
        <v>119</v>
      </c>
      <c r="D53" s="45" t="s">
        <v>115</v>
      </c>
      <c r="E53" s="45" t="s">
        <v>116</v>
      </c>
      <c r="F53" s="45" t="s">
        <v>127</v>
      </c>
      <c r="G53" s="46">
        <v>22.95</v>
      </c>
      <c r="H53" s="45">
        <v>7</v>
      </c>
      <c r="I53" s="46">
        <v>160.65</v>
      </c>
    </row>
    <row r="54" spans="1:9" x14ac:dyDescent="0.3">
      <c r="A54" s="44">
        <v>40934</v>
      </c>
      <c r="B54" s="45">
        <v>37</v>
      </c>
      <c r="C54" s="45" t="s">
        <v>109</v>
      </c>
      <c r="D54" s="45" t="s">
        <v>123</v>
      </c>
      <c r="E54" s="45" t="s">
        <v>118</v>
      </c>
      <c r="F54" s="45" t="s">
        <v>117</v>
      </c>
      <c r="G54" s="46">
        <v>19.95</v>
      </c>
      <c r="H54" s="45">
        <v>6</v>
      </c>
      <c r="I54" s="46">
        <v>119.69999999999999</v>
      </c>
    </row>
    <row r="55" spans="1:9" x14ac:dyDescent="0.3">
      <c r="A55" s="44">
        <v>41035</v>
      </c>
      <c r="B55" s="45">
        <v>38</v>
      </c>
      <c r="C55" s="45" t="s">
        <v>119</v>
      </c>
      <c r="D55" s="45" t="s">
        <v>115</v>
      </c>
      <c r="E55" s="45" t="s">
        <v>120</v>
      </c>
      <c r="F55" s="45" t="s">
        <v>121</v>
      </c>
      <c r="G55" s="46">
        <v>21.95</v>
      </c>
      <c r="H55" s="45">
        <v>2</v>
      </c>
      <c r="I55" s="46">
        <v>43.9</v>
      </c>
    </row>
    <row r="56" spans="1:9" x14ac:dyDescent="0.3">
      <c r="A56" s="44">
        <v>40986</v>
      </c>
      <c r="B56" s="45">
        <v>50</v>
      </c>
      <c r="C56" s="45" t="s">
        <v>109</v>
      </c>
      <c r="D56" s="45" t="s">
        <v>115</v>
      </c>
      <c r="E56" s="45" t="s">
        <v>118</v>
      </c>
      <c r="F56" s="45" t="s">
        <v>127</v>
      </c>
      <c r="G56" s="46">
        <v>19.95</v>
      </c>
      <c r="H56" s="45">
        <v>6</v>
      </c>
      <c r="I56" s="46">
        <v>119.69999999999999</v>
      </c>
    </row>
    <row r="57" spans="1:9" x14ac:dyDescent="0.3">
      <c r="A57" s="44">
        <v>41015</v>
      </c>
      <c r="B57" s="45">
        <v>26</v>
      </c>
      <c r="C57" s="45" t="s">
        <v>119</v>
      </c>
      <c r="D57" s="45" t="s">
        <v>126</v>
      </c>
      <c r="E57" s="45" t="s">
        <v>120</v>
      </c>
      <c r="F57" s="45" t="s">
        <v>117</v>
      </c>
      <c r="G57" s="46">
        <v>21.95</v>
      </c>
      <c r="H57" s="45">
        <v>3</v>
      </c>
      <c r="I57" s="46">
        <v>65.849999999999994</v>
      </c>
    </row>
    <row r="58" spans="1:9" x14ac:dyDescent="0.3">
      <c r="A58" s="44">
        <v>40913</v>
      </c>
      <c r="B58" s="45">
        <v>33</v>
      </c>
      <c r="C58" s="45" t="s">
        <v>119</v>
      </c>
      <c r="D58" s="45" t="s">
        <v>124</v>
      </c>
      <c r="E58" s="45" t="s">
        <v>116</v>
      </c>
      <c r="F58" s="45" t="s">
        <v>125</v>
      </c>
      <c r="G58" s="46">
        <v>22.95</v>
      </c>
      <c r="H58" s="45">
        <v>1</v>
      </c>
      <c r="I58" s="46">
        <v>22.95</v>
      </c>
    </row>
    <row r="59" spans="1:9" x14ac:dyDescent="0.3">
      <c r="A59" s="44">
        <v>41222</v>
      </c>
      <c r="B59" s="45">
        <v>59</v>
      </c>
      <c r="C59" s="45" t="s">
        <v>119</v>
      </c>
      <c r="D59" s="45" t="s">
        <v>124</v>
      </c>
      <c r="E59" s="45" t="s">
        <v>120</v>
      </c>
      <c r="F59" s="45" t="s">
        <v>127</v>
      </c>
      <c r="G59" s="46">
        <v>21.95</v>
      </c>
      <c r="H59" s="45">
        <v>3</v>
      </c>
      <c r="I59" s="46">
        <v>65.849999999999994</v>
      </c>
    </row>
    <row r="60" spans="1:9" x14ac:dyDescent="0.3">
      <c r="A60" s="44">
        <v>41119</v>
      </c>
      <c r="B60" s="45">
        <v>32</v>
      </c>
      <c r="C60" s="45" t="s">
        <v>119</v>
      </c>
      <c r="D60" s="45" t="s">
        <v>123</v>
      </c>
      <c r="E60" s="45" t="s">
        <v>120</v>
      </c>
      <c r="F60" s="45" t="s">
        <v>127</v>
      </c>
      <c r="G60" s="46">
        <v>21.95</v>
      </c>
      <c r="H60" s="45">
        <v>5</v>
      </c>
      <c r="I60" s="46">
        <v>109.75</v>
      </c>
    </row>
    <row r="61" spans="1:9" x14ac:dyDescent="0.3">
      <c r="A61" s="44">
        <v>41250</v>
      </c>
      <c r="B61" s="45">
        <v>27</v>
      </c>
      <c r="C61" s="45" t="s">
        <v>119</v>
      </c>
      <c r="D61" s="45" t="s">
        <v>123</v>
      </c>
      <c r="E61" s="45" t="s">
        <v>116</v>
      </c>
      <c r="F61" s="45" t="s">
        <v>127</v>
      </c>
      <c r="G61" s="46">
        <v>22.95</v>
      </c>
      <c r="H61" s="45">
        <v>5</v>
      </c>
      <c r="I61" s="46">
        <v>114.75</v>
      </c>
    </row>
    <row r="62" spans="1:9" x14ac:dyDescent="0.3">
      <c r="A62" s="44">
        <v>41235</v>
      </c>
      <c r="B62" s="45">
        <v>54</v>
      </c>
      <c r="C62" s="45" t="s">
        <v>109</v>
      </c>
      <c r="D62" s="45" t="s">
        <v>122</v>
      </c>
      <c r="E62" s="45" t="s">
        <v>130</v>
      </c>
      <c r="F62" s="45" t="s">
        <v>117</v>
      </c>
      <c r="G62" s="46">
        <v>24.95</v>
      </c>
      <c r="H62" s="45">
        <v>10</v>
      </c>
      <c r="I62" s="46">
        <v>249.5</v>
      </c>
    </row>
    <row r="63" spans="1:9" x14ac:dyDescent="0.3">
      <c r="A63" s="44">
        <v>40918</v>
      </c>
      <c r="B63" s="45">
        <v>63</v>
      </c>
      <c r="C63" s="45" t="s">
        <v>119</v>
      </c>
      <c r="D63" s="45" t="s">
        <v>124</v>
      </c>
      <c r="E63" s="45" t="s">
        <v>120</v>
      </c>
      <c r="F63" s="45" t="s">
        <v>117</v>
      </c>
      <c r="G63" s="46">
        <v>21.95</v>
      </c>
      <c r="H63" s="45">
        <v>5</v>
      </c>
      <c r="I63" s="46">
        <v>109.75</v>
      </c>
    </row>
    <row r="64" spans="1:9" x14ac:dyDescent="0.3">
      <c r="A64" s="44">
        <v>41061</v>
      </c>
      <c r="B64" s="45">
        <v>48</v>
      </c>
      <c r="C64" s="45" t="s">
        <v>119</v>
      </c>
      <c r="D64" s="45" t="s">
        <v>123</v>
      </c>
      <c r="E64" s="45" t="s">
        <v>116</v>
      </c>
      <c r="F64" s="45" t="s">
        <v>121</v>
      </c>
      <c r="G64" s="46">
        <v>22.95</v>
      </c>
      <c r="H64" s="45">
        <v>5</v>
      </c>
      <c r="I64" s="46">
        <v>114.75</v>
      </c>
    </row>
    <row r="65" spans="1:9" x14ac:dyDescent="0.3">
      <c r="A65" s="44">
        <v>41031</v>
      </c>
      <c r="B65" s="45">
        <v>29</v>
      </c>
      <c r="C65" s="45" t="s">
        <v>119</v>
      </c>
      <c r="D65" s="45" t="s">
        <v>122</v>
      </c>
      <c r="E65" s="45" t="s">
        <v>116</v>
      </c>
      <c r="F65" s="45" t="s">
        <v>121</v>
      </c>
      <c r="G65" s="46">
        <v>22.95</v>
      </c>
      <c r="H65" s="45">
        <v>5</v>
      </c>
      <c r="I65" s="46">
        <v>114.75</v>
      </c>
    </row>
    <row r="66" spans="1:9" x14ac:dyDescent="0.3">
      <c r="A66" s="44">
        <v>41073</v>
      </c>
      <c r="B66" s="45">
        <v>38</v>
      </c>
      <c r="C66" s="45" t="s">
        <v>109</v>
      </c>
      <c r="D66" s="45" t="s">
        <v>123</v>
      </c>
      <c r="E66" s="45" t="s">
        <v>129</v>
      </c>
      <c r="F66" s="45" t="s">
        <v>117</v>
      </c>
      <c r="G66" s="46">
        <v>29.95</v>
      </c>
      <c r="H66" s="45">
        <v>4</v>
      </c>
      <c r="I66" s="46">
        <v>119.8</v>
      </c>
    </row>
    <row r="67" spans="1:9" x14ac:dyDescent="0.3">
      <c r="A67" s="44">
        <v>40955</v>
      </c>
      <c r="B67" s="45">
        <v>24</v>
      </c>
      <c r="C67" s="45" t="s">
        <v>109</v>
      </c>
      <c r="D67" s="45" t="s">
        <v>115</v>
      </c>
      <c r="E67" s="45" t="s">
        <v>129</v>
      </c>
      <c r="F67" s="45" t="s">
        <v>121</v>
      </c>
      <c r="G67" s="46">
        <v>29.95</v>
      </c>
      <c r="H67" s="45">
        <v>1</v>
      </c>
      <c r="I67" s="46">
        <v>29.95</v>
      </c>
    </row>
    <row r="68" spans="1:9" x14ac:dyDescent="0.3">
      <c r="A68" s="44">
        <v>41123</v>
      </c>
      <c r="B68" s="45">
        <v>51</v>
      </c>
      <c r="C68" s="45" t="s">
        <v>119</v>
      </c>
      <c r="D68" s="45" t="s">
        <v>123</v>
      </c>
      <c r="E68" s="45" t="s">
        <v>116</v>
      </c>
      <c r="F68" s="45" t="s">
        <v>117</v>
      </c>
      <c r="G68" s="46">
        <v>22.95</v>
      </c>
      <c r="H68" s="45">
        <v>5</v>
      </c>
      <c r="I68" s="46">
        <v>114.75</v>
      </c>
    </row>
    <row r="69" spans="1:9" x14ac:dyDescent="0.3">
      <c r="A69" s="44">
        <v>41214</v>
      </c>
      <c r="B69" s="45">
        <v>25</v>
      </c>
      <c r="C69" s="45" t="s">
        <v>109</v>
      </c>
      <c r="D69" s="45" t="s">
        <v>115</v>
      </c>
      <c r="E69" s="45" t="s">
        <v>129</v>
      </c>
      <c r="F69" s="45" t="s">
        <v>117</v>
      </c>
      <c r="G69" s="46">
        <v>29.95</v>
      </c>
      <c r="H69" s="45">
        <v>7</v>
      </c>
      <c r="I69" s="46">
        <v>209.65</v>
      </c>
    </row>
    <row r="70" spans="1:9" x14ac:dyDescent="0.3">
      <c r="A70" s="44">
        <v>41221</v>
      </c>
      <c r="B70" s="45">
        <v>65</v>
      </c>
      <c r="C70" s="45" t="s">
        <v>119</v>
      </c>
      <c r="D70" s="45" t="s">
        <v>123</v>
      </c>
      <c r="E70" s="45" t="s">
        <v>116</v>
      </c>
      <c r="F70" s="45" t="s">
        <v>117</v>
      </c>
      <c r="G70" s="46">
        <v>22.95</v>
      </c>
      <c r="H70" s="45">
        <v>5</v>
      </c>
      <c r="I70" s="46">
        <v>114.75</v>
      </c>
    </row>
    <row r="71" spans="1:9" x14ac:dyDescent="0.3">
      <c r="A71" s="44">
        <v>41138</v>
      </c>
      <c r="B71" s="45">
        <v>35</v>
      </c>
      <c r="C71" s="45" t="s">
        <v>119</v>
      </c>
      <c r="D71" s="45" t="s">
        <v>124</v>
      </c>
      <c r="E71" s="45" t="s">
        <v>118</v>
      </c>
      <c r="F71" s="45" t="s">
        <v>127</v>
      </c>
      <c r="G71" s="46">
        <v>19.95</v>
      </c>
      <c r="H71" s="45">
        <v>3</v>
      </c>
      <c r="I71" s="46">
        <v>59.849999999999994</v>
      </c>
    </row>
    <row r="72" spans="1:9" x14ac:dyDescent="0.3">
      <c r="A72" s="44">
        <v>41179</v>
      </c>
      <c r="B72" s="45">
        <v>35</v>
      </c>
      <c r="C72" s="45" t="s">
        <v>119</v>
      </c>
      <c r="D72" s="45" t="s">
        <v>115</v>
      </c>
      <c r="E72" s="45" t="s">
        <v>128</v>
      </c>
      <c r="F72" s="45" t="s">
        <v>121</v>
      </c>
      <c r="G72" s="46">
        <v>24.95</v>
      </c>
      <c r="H72" s="45">
        <v>5</v>
      </c>
      <c r="I72" s="46">
        <v>124.75</v>
      </c>
    </row>
    <row r="73" spans="1:9" x14ac:dyDescent="0.3">
      <c r="A73" s="44">
        <v>40917</v>
      </c>
      <c r="B73" s="45">
        <v>21</v>
      </c>
      <c r="C73" s="45" t="s">
        <v>119</v>
      </c>
      <c r="D73" s="45" t="s">
        <v>123</v>
      </c>
      <c r="E73" s="45" t="s">
        <v>118</v>
      </c>
      <c r="F73" s="45" t="s">
        <v>127</v>
      </c>
      <c r="G73" s="46">
        <v>19.95</v>
      </c>
      <c r="H73" s="45">
        <v>2</v>
      </c>
      <c r="I73" s="46">
        <v>39.9</v>
      </c>
    </row>
    <row r="74" spans="1:9" x14ac:dyDescent="0.3">
      <c r="A74" s="44">
        <v>41192</v>
      </c>
      <c r="B74" s="45">
        <v>47</v>
      </c>
      <c r="C74" s="45" t="s">
        <v>119</v>
      </c>
      <c r="D74" s="45" t="s">
        <v>115</v>
      </c>
      <c r="E74" s="45" t="s">
        <v>128</v>
      </c>
      <c r="F74" s="45" t="s">
        <v>117</v>
      </c>
      <c r="G74" s="46">
        <v>24.95</v>
      </c>
      <c r="H74" s="45">
        <v>5</v>
      </c>
      <c r="I74" s="46">
        <v>124.75</v>
      </c>
    </row>
    <row r="75" spans="1:9" x14ac:dyDescent="0.3">
      <c r="A75" s="44">
        <v>41274</v>
      </c>
      <c r="B75" s="45">
        <v>62</v>
      </c>
      <c r="C75" s="45" t="s">
        <v>119</v>
      </c>
      <c r="D75" s="45" t="s">
        <v>126</v>
      </c>
      <c r="E75" s="45" t="s">
        <v>128</v>
      </c>
      <c r="F75" s="45" t="s">
        <v>121</v>
      </c>
      <c r="G75" s="46">
        <v>24.95</v>
      </c>
      <c r="H75" s="45">
        <v>1</v>
      </c>
      <c r="I75" s="46">
        <v>24.95</v>
      </c>
    </row>
    <row r="76" spans="1:9" x14ac:dyDescent="0.3">
      <c r="A76" s="44">
        <v>41249</v>
      </c>
      <c r="B76" s="45">
        <v>63</v>
      </c>
      <c r="C76" s="45" t="s">
        <v>119</v>
      </c>
      <c r="D76" s="45" t="s">
        <v>124</v>
      </c>
      <c r="E76" s="45" t="s">
        <v>116</v>
      </c>
      <c r="F76" s="45" t="s">
        <v>121</v>
      </c>
      <c r="G76" s="46">
        <v>22.95</v>
      </c>
      <c r="H76" s="45">
        <v>1</v>
      </c>
      <c r="I76" s="46">
        <v>22.95</v>
      </c>
    </row>
    <row r="77" spans="1:9" x14ac:dyDescent="0.3">
      <c r="A77" s="44">
        <v>40986</v>
      </c>
      <c r="B77" s="45">
        <v>23</v>
      </c>
      <c r="C77" s="45" t="s">
        <v>119</v>
      </c>
      <c r="D77" s="45" t="s">
        <v>122</v>
      </c>
      <c r="E77" s="45" t="s">
        <v>130</v>
      </c>
      <c r="F77" s="45" t="s">
        <v>127</v>
      </c>
      <c r="G77" s="46">
        <v>24.95</v>
      </c>
      <c r="H77" s="45">
        <v>10</v>
      </c>
      <c r="I77" s="46">
        <v>249.5</v>
      </c>
    </row>
    <row r="78" spans="1:9" x14ac:dyDescent="0.3">
      <c r="A78" s="44">
        <v>40990</v>
      </c>
      <c r="B78" s="45">
        <v>59</v>
      </c>
      <c r="C78" s="45" t="s">
        <v>119</v>
      </c>
      <c r="D78" s="45" t="s">
        <v>123</v>
      </c>
      <c r="E78" s="45" t="s">
        <v>118</v>
      </c>
      <c r="F78" s="45" t="s">
        <v>125</v>
      </c>
      <c r="G78" s="46">
        <v>19.95</v>
      </c>
      <c r="H78" s="45">
        <v>3</v>
      </c>
      <c r="I78" s="46">
        <v>59.849999999999994</v>
      </c>
    </row>
    <row r="79" spans="1:9" x14ac:dyDescent="0.3">
      <c r="A79" s="44">
        <v>41166</v>
      </c>
      <c r="B79" s="45">
        <v>48</v>
      </c>
      <c r="C79" s="45" t="s">
        <v>109</v>
      </c>
      <c r="D79" s="45" t="s">
        <v>123</v>
      </c>
      <c r="E79" s="45" t="s">
        <v>120</v>
      </c>
      <c r="F79" s="45" t="s">
        <v>117</v>
      </c>
      <c r="G79" s="46">
        <v>21.95</v>
      </c>
      <c r="H79" s="45">
        <v>2</v>
      </c>
      <c r="I79" s="46">
        <v>43.9</v>
      </c>
    </row>
    <row r="80" spans="1:9" x14ac:dyDescent="0.3">
      <c r="A80" s="44">
        <v>40948</v>
      </c>
      <c r="B80" s="45">
        <v>57</v>
      </c>
      <c r="C80" s="45" t="s">
        <v>119</v>
      </c>
      <c r="D80" s="45" t="s">
        <v>115</v>
      </c>
      <c r="E80" s="45" t="s">
        <v>118</v>
      </c>
      <c r="F80" s="45" t="s">
        <v>125</v>
      </c>
      <c r="G80" s="46">
        <v>19.95</v>
      </c>
      <c r="H80" s="45">
        <v>1</v>
      </c>
      <c r="I80" s="46">
        <v>19.95</v>
      </c>
    </row>
    <row r="81" spans="1:9" x14ac:dyDescent="0.3">
      <c r="A81" s="44">
        <v>40992</v>
      </c>
      <c r="B81" s="45">
        <v>19</v>
      </c>
      <c r="C81" s="45" t="s">
        <v>119</v>
      </c>
      <c r="D81" s="45" t="s">
        <v>126</v>
      </c>
      <c r="E81" s="45" t="s">
        <v>129</v>
      </c>
      <c r="F81" s="45" t="s">
        <v>127</v>
      </c>
      <c r="G81" s="46">
        <v>29.95</v>
      </c>
      <c r="H81" s="45">
        <v>1</v>
      </c>
      <c r="I81" s="46">
        <v>29.95</v>
      </c>
    </row>
    <row r="82" spans="1:9" x14ac:dyDescent="0.3">
      <c r="A82" s="44">
        <v>41118</v>
      </c>
      <c r="B82" s="45">
        <v>48</v>
      </c>
      <c r="C82" s="45" t="s">
        <v>109</v>
      </c>
      <c r="D82" s="45" t="s">
        <v>115</v>
      </c>
      <c r="E82" s="45" t="s">
        <v>118</v>
      </c>
      <c r="F82" s="45" t="s">
        <v>127</v>
      </c>
      <c r="G82" s="46">
        <v>19.95</v>
      </c>
      <c r="H82" s="45">
        <v>1</v>
      </c>
      <c r="I82" s="46">
        <v>19.95</v>
      </c>
    </row>
    <row r="83" spans="1:9" x14ac:dyDescent="0.3">
      <c r="A83" s="44">
        <v>41147</v>
      </c>
      <c r="B83" s="45">
        <v>21</v>
      </c>
      <c r="C83" s="45" t="s">
        <v>109</v>
      </c>
      <c r="D83" s="45" t="s">
        <v>115</v>
      </c>
      <c r="E83" s="45" t="s">
        <v>120</v>
      </c>
      <c r="F83" s="45" t="s">
        <v>125</v>
      </c>
      <c r="G83" s="46">
        <v>21.95</v>
      </c>
      <c r="H83" s="45">
        <v>3</v>
      </c>
      <c r="I83" s="46">
        <v>65.849999999999994</v>
      </c>
    </row>
    <row r="84" spans="1:9" x14ac:dyDescent="0.3">
      <c r="A84" s="44">
        <v>40973</v>
      </c>
      <c r="B84" s="45">
        <v>40</v>
      </c>
      <c r="C84" s="45" t="s">
        <v>119</v>
      </c>
      <c r="D84" s="45" t="s">
        <v>122</v>
      </c>
      <c r="E84" s="45" t="s">
        <v>116</v>
      </c>
      <c r="F84" s="45" t="s">
        <v>117</v>
      </c>
      <c r="G84" s="46">
        <v>22.95</v>
      </c>
      <c r="H84" s="45">
        <v>1</v>
      </c>
      <c r="I84" s="46">
        <v>22.95</v>
      </c>
    </row>
    <row r="85" spans="1:9" x14ac:dyDescent="0.3">
      <c r="A85" s="44">
        <v>41139</v>
      </c>
      <c r="B85" s="45">
        <v>25</v>
      </c>
      <c r="C85" s="45" t="s">
        <v>119</v>
      </c>
      <c r="D85" s="45" t="s">
        <v>123</v>
      </c>
      <c r="E85" s="45" t="s">
        <v>118</v>
      </c>
      <c r="F85" s="45" t="s">
        <v>127</v>
      </c>
      <c r="G85" s="46">
        <v>19.95</v>
      </c>
      <c r="H85" s="45">
        <v>4</v>
      </c>
      <c r="I85" s="46">
        <v>79.8</v>
      </c>
    </row>
    <row r="86" spans="1:9" x14ac:dyDescent="0.3">
      <c r="A86" s="44">
        <v>41215</v>
      </c>
      <c r="B86" s="45">
        <v>59</v>
      </c>
      <c r="C86" s="45" t="s">
        <v>109</v>
      </c>
      <c r="D86" s="45" t="s">
        <v>115</v>
      </c>
      <c r="E86" s="45" t="s">
        <v>118</v>
      </c>
      <c r="F86" s="45" t="s">
        <v>125</v>
      </c>
      <c r="G86" s="46">
        <v>19.95</v>
      </c>
      <c r="H86" s="45">
        <v>4</v>
      </c>
      <c r="I86" s="46">
        <v>79.8</v>
      </c>
    </row>
    <row r="87" spans="1:9" x14ac:dyDescent="0.3">
      <c r="A87" s="44">
        <v>41262</v>
      </c>
      <c r="B87" s="45">
        <v>57</v>
      </c>
      <c r="C87" s="45" t="s">
        <v>119</v>
      </c>
      <c r="D87" s="45" t="s">
        <v>123</v>
      </c>
      <c r="E87" s="45" t="s">
        <v>116</v>
      </c>
      <c r="F87" s="45" t="s">
        <v>117</v>
      </c>
      <c r="G87" s="46">
        <v>22.95</v>
      </c>
      <c r="H87" s="45">
        <v>5</v>
      </c>
      <c r="I87" s="46">
        <v>114.75</v>
      </c>
    </row>
    <row r="88" spans="1:9" x14ac:dyDescent="0.3">
      <c r="A88" s="44">
        <v>41095</v>
      </c>
      <c r="B88" s="45">
        <v>56</v>
      </c>
      <c r="C88" s="45" t="s">
        <v>109</v>
      </c>
      <c r="D88" s="45" t="s">
        <v>126</v>
      </c>
      <c r="E88" s="45" t="s">
        <v>116</v>
      </c>
      <c r="F88" s="45" t="s">
        <v>117</v>
      </c>
      <c r="G88" s="46">
        <v>22.95</v>
      </c>
      <c r="H88" s="45">
        <v>1</v>
      </c>
      <c r="I88" s="46">
        <v>22.95</v>
      </c>
    </row>
    <row r="89" spans="1:9" x14ac:dyDescent="0.3">
      <c r="A89" s="44">
        <v>41015</v>
      </c>
      <c r="B89" s="45">
        <v>19</v>
      </c>
      <c r="C89" s="45" t="s">
        <v>119</v>
      </c>
      <c r="D89" s="45" t="s">
        <v>123</v>
      </c>
      <c r="E89" s="45" t="s">
        <v>118</v>
      </c>
      <c r="F89" s="45" t="s">
        <v>117</v>
      </c>
      <c r="G89" s="46">
        <v>19.95</v>
      </c>
      <c r="H89" s="45">
        <v>1</v>
      </c>
      <c r="I89" s="46">
        <v>19.95</v>
      </c>
    </row>
    <row r="90" spans="1:9" x14ac:dyDescent="0.3">
      <c r="A90" s="44">
        <v>41266</v>
      </c>
      <c r="B90" s="45">
        <v>54</v>
      </c>
      <c r="C90" s="45" t="s">
        <v>119</v>
      </c>
      <c r="D90" s="45" t="s">
        <v>123</v>
      </c>
      <c r="E90" s="45" t="s">
        <v>120</v>
      </c>
      <c r="F90" s="45" t="s">
        <v>127</v>
      </c>
      <c r="G90" s="46">
        <v>21.95</v>
      </c>
      <c r="H90" s="45">
        <v>5</v>
      </c>
      <c r="I90" s="46">
        <v>109.75</v>
      </c>
    </row>
    <row r="91" spans="1:9" x14ac:dyDescent="0.3">
      <c r="A91" s="44">
        <v>41058</v>
      </c>
      <c r="B91" s="45">
        <v>65</v>
      </c>
      <c r="C91" s="45" t="s">
        <v>119</v>
      </c>
      <c r="D91" s="45" t="s">
        <v>124</v>
      </c>
      <c r="E91" s="45" t="s">
        <v>129</v>
      </c>
      <c r="F91" s="45" t="s">
        <v>127</v>
      </c>
      <c r="G91" s="46">
        <v>29.95</v>
      </c>
      <c r="H91" s="45">
        <v>2</v>
      </c>
      <c r="I91" s="46">
        <v>59.9</v>
      </c>
    </row>
    <row r="92" spans="1:9" x14ac:dyDescent="0.3">
      <c r="A92" s="44">
        <v>41030</v>
      </c>
      <c r="B92" s="45">
        <v>25</v>
      </c>
      <c r="C92" s="45" t="s">
        <v>109</v>
      </c>
      <c r="D92" s="45" t="s">
        <v>124</v>
      </c>
      <c r="E92" s="45" t="s">
        <v>120</v>
      </c>
      <c r="F92" s="45" t="s">
        <v>117</v>
      </c>
      <c r="G92" s="46">
        <v>21.95</v>
      </c>
      <c r="H92" s="45">
        <v>2</v>
      </c>
      <c r="I92" s="46">
        <v>43.9</v>
      </c>
    </row>
    <row r="93" spans="1:9" x14ac:dyDescent="0.3">
      <c r="A93" s="44">
        <v>41093</v>
      </c>
      <c r="B93" s="45">
        <v>30</v>
      </c>
      <c r="C93" s="45" t="s">
        <v>119</v>
      </c>
      <c r="D93" s="45" t="s">
        <v>122</v>
      </c>
      <c r="E93" s="45" t="s">
        <v>118</v>
      </c>
      <c r="F93" s="45" t="s">
        <v>117</v>
      </c>
      <c r="G93" s="46">
        <v>19.95</v>
      </c>
      <c r="H93" s="45">
        <v>2</v>
      </c>
      <c r="I93" s="46">
        <v>39.9</v>
      </c>
    </row>
    <row r="94" spans="1:9" x14ac:dyDescent="0.3">
      <c r="A94" s="44">
        <v>41133</v>
      </c>
      <c r="B94" s="45">
        <v>57</v>
      </c>
      <c r="C94" s="45" t="s">
        <v>119</v>
      </c>
      <c r="D94" s="45" t="s">
        <v>115</v>
      </c>
      <c r="E94" s="45" t="s">
        <v>129</v>
      </c>
      <c r="F94" s="45" t="s">
        <v>117</v>
      </c>
      <c r="G94" s="46">
        <v>29.95</v>
      </c>
      <c r="H94" s="45">
        <v>7</v>
      </c>
      <c r="I94" s="46">
        <v>209.65</v>
      </c>
    </row>
    <row r="95" spans="1:9" x14ac:dyDescent="0.3">
      <c r="A95" s="44">
        <v>41081</v>
      </c>
      <c r="B95" s="45">
        <v>43</v>
      </c>
      <c r="C95" s="45" t="s">
        <v>109</v>
      </c>
      <c r="D95" s="45" t="s">
        <v>124</v>
      </c>
      <c r="E95" s="45" t="s">
        <v>118</v>
      </c>
      <c r="F95" s="45" t="s">
        <v>117</v>
      </c>
      <c r="G95" s="46">
        <v>19.95</v>
      </c>
      <c r="H95" s="45">
        <v>1</v>
      </c>
      <c r="I95" s="46">
        <v>19.95</v>
      </c>
    </row>
    <row r="96" spans="1:9" x14ac:dyDescent="0.3">
      <c r="A96" s="44">
        <v>41258</v>
      </c>
      <c r="B96" s="45">
        <v>44</v>
      </c>
      <c r="C96" s="45" t="s">
        <v>119</v>
      </c>
      <c r="D96" s="45" t="s">
        <v>115</v>
      </c>
      <c r="E96" s="45" t="s">
        <v>118</v>
      </c>
      <c r="F96" s="45" t="s">
        <v>125</v>
      </c>
      <c r="G96" s="46">
        <v>19.95</v>
      </c>
      <c r="H96" s="45">
        <v>4</v>
      </c>
      <c r="I96" s="46">
        <v>79.8</v>
      </c>
    </row>
    <row r="97" spans="1:9" x14ac:dyDescent="0.3">
      <c r="A97" s="44">
        <v>41054</v>
      </c>
      <c r="B97" s="45">
        <v>21</v>
      </c>
      <c r="C97" s="45" t="s">
        <v>119</v>
      </c>
      <c r="D97" s="45" t="s">
        <v>124</v>
      </c>
      <c r="E97" s="45" t="s">
        <v>130</v>
      </c>
      <c r="F97" s="45" t="s">
        <v>121</v>
      </c>
      <c r="G97" s="46">
        <v>24.95</v>
      </c>
      <c r="H97" s="45">
        <v>5</v>
      </c>
      <c r="I97" s="46">
        <v>124.75</v>
      </c>
    </row>
    <row r="98" spans="1:9" x14ac:dyDescent="0.3">
      <c r="A98" s="44">
        <v>40991</v>
      </c>
      <c r="B98" s="45">
        <v>20</v>
      </c>
      <c r="C98" s="45" t="s">
        <v>119</v>
      </c>
      <c r="D98" s="45" t="s">
        <v>124</v>
      </c>
      <c r="E98" s="45" t="s">
        <v>130</v>
      </c>
      <c r="F98" s="45" t="s">
        <v>117</v>
      </c>
      <c r="G98" s="46">
        <v>24.95</v>
      </c>
      <c r="H98" s="45">
        <v>1</v>
      </c>
      <c r="I98" s="46">
        <v>24.95</v>
      </c>
    </row>
    <row r="99" spans="1:9" x14ac:dyDescent="0.3">
      <c r="A99" s="44">
        <v>40930</v>
      </c>
      <c r="B99" s="45">
        <v>49</v>
      </c>
      <c r="C99" s="45" t="s">
        <v>109</v>
      </c>
      <c r="D99" s="45" t="s">
        <v>123</v>
      </c>
      <c r="E99" s="45" t="s">
        <v>116</v>
      </c>
      <c r="F99" s="45" t="s">
        <v>117</v>
      </c>
      <c r="G99" s="46">
        <v>22.95</v>
      </c>
      <c r="H99" s="45">
        <v>7</v>
      </c>
      <c r="I99" s="46">
        <v>160.65</v>
      </c>
    </row>
    <row r="100" spans="1:9" x14ac:dyDescent="0.3">
      <c r="A100" s="44">
        <v>41178</v>
      </c>
      <c r="B100" s="45">
        <v>37</v>
      </c>
      <c r="C100" s="45" t="s">
        <v>119</v>
      </c>
      <c r="D100" s="45" t="s">
        <v>115</v>
      </c>
      <c r="E100" s="45" t="s">
        <v>120</v>
      </c>
      <c r="F100" s="45" t="s">
        <v>125</v>
      </c>
      <c r="G100" s="46">
        <v>21.95</v>
      </c>
      <c r="H100" s="45">
        <v>3</v>
      </c>
      <c r="I100" s="46">
        <v>65.849999999999994</v>
      </c>
    </row>
    <row r="101" spans="1:9" x14ac:dyDescent="0.3">
      <c r="A101" s="44">
        <v>41270</v>
      </c>
      <c r="B101" s="45">
        <v>26</v>
      </c>
      <c r="C101" s="45" t="s">
        <v>119</v>
      </c>
      <c r="D101" s="45" t="s">
        <v>124</v>
      </c>
      <c r="E101" s="45" t="s">
        <v>116</v>
      </c>
      <c r="F101" s="45" t="s">
        <v>117</v>
      </c>
      <c r="G101" s="46">
        <v>22.95</v>
      </c>
      <c r="H101" s="45">
        <v>6</v>
      </c>
      <c r="I101" s="46">
        <v>137.69999999999999</v>
      </c>
    </row>
    <row r="102" spans="1:9" x14ac:dyDescent="0.3">
      <c r="A102" s="44">
        <v>41114</v>
      </c>
      <c r="B102" s="45">
        <v>62</v>
      </c>
      <c r="C102" s="45" t="s">
        <v>119</v>
      </c>
      <c r="D102" s="45" t="s">
        <v>115</v>
      </c>
      <c r="E102" s="45" t="s">
        <v>129</v>
      </c>
      <c r="F102" s="45" t="s">
        <v>121</v>
      </c>
      <c r="G102" s="46">
        <v>29.95</v>
      </c>
      <c r="H102" s="45">
        <v>1</v>
      </c>
      <c r="I102" s="46">
        <v>29.95</v>
      </c>
    </row>
    <row r="103" spans="1:9" x14ac:dyDescent="0.3">
      <c r="A103" s="44">
        <v>41026</v>
      </c>
      <c r="B103" s="45">
        <v>38</v>
      </c>
      <c r="C103" s="45" t="s">
        <v>119</v>
      </c>
      <c r="D103" s="45" t="s">
        <v>124</v>
      </c>
      <c r="E103" s="45" t="s">
        <v>118</v>
      </c>
      <c r="F103" s="45" t="s">
        <v>117</v>
      </c>
      <c r="G103" s="46">
        <v>19.95</v>
      </c>
      <c r="H103" s="45">
        <v>6</v>
      </c>
      <c r="I103" s="46">
        <v>119.69999999999999</v>
      </c>
    </row>
    <row r="104" spans="1:9" x14ac:dyDescent="0.3">
      <c r="A104" s="44">
        <v>41036</v>
      </c>
      <c r="B104" s="45">
        <v>55</v>
      </c>
      <c r="C104" s="45" t="s">
        <v>119</v>
      </c>
      <c r="D104" s="45" t="s">
        <v>123</v>
      </c>
      <c r="E104" s="45" t="s">
        <v>118</v>
      </c>
      <c r="F104" s="45" t="s">
        <v>117</v>
      </c>
      <c r="G104" s="46">
        <v>19.95</v>
      </c>
      <c r="H104" s="45">
        <v>1</v>
      </c>
      <c r="I104" s="46">
        <v>19.95</v>
      </c>
    </row>
    <row r="105" spans="1:9" x14ac:dyDescent="0.3">
      <c r="A105" s="44">
        <v>40971</v>
      </c>
      <c r="B105" s="45">
        <v>24</v>
      </c>
      <c r="C105" s="45" t="s">
        <v>109</v>
      </c>
      <c r="D105" s="45" t="s">
        <v>122</v>
      </c>
      <c r="E105" s="45" t="s">
        <v>118</v>
      </c>
      <c r="F105" s="45" t="s">
        <v>121</v>
      </c>
      <c r="G105" s="46">
        <v>19.95</v>
      </c>
      <c r="H105" s="45">
        <v>2</v>
      </c>
      <c r="I105" s="46">
        <v>39.9</v>
      </c>
    </row>
    <row r="106" spans="1:9" x14ac:dyDescent="0.3">
      <c r="A106" s="44">
        <v>40991</v>
      </c>
      <c r="B106" s="45">
        <v>30</v>
      </c>
      <c r="C106" s="45" t="s">
        <v>119</v>
      </c>
      <c r="D106" s="45" t="s">
        <v>124</v>
      </c>
      <c r="E106" s="45" t="s">
        <v>116</v>
      </c>
      <c r="F106" s="45" t="s">
        <v>127</v>
      </c>
      <c r="G106" s="46">
        <v>22.95</v>
      </c>
      <c r="H106" s="45">
        <v>5</v>
      </c>
      <c r="I106" s="46">
        <v>114.75</v>
      </c>
    </row>
    <row r="107" spans="1:9" x14ac:dyDescent="0.3">
      <c r="A107" s="44">
        <v>41248</v>
      </c>
      <c r="B107" s="45">
        <v>39</v>
      </c>
      <c r="C107" s="45" t="s">
        <v>109</v>
      </c>
      <c r="D107" s="45" t="s">
        <v>123</v>
      </c>
      <c r="E107" s="45" t="s">
        <v>120</v>
      </c>
      <c r="F107" s="45" t="s">
        <v>127</v>
      </c>
      <c r="G107" s="46">
        <v>21.95</v>
      </c>
      <c r="H107" s="45">
        <v>1</v>
      </c>
      <c r="I107" s="46">
        <v>21.95</v>
      </c>
    </row>
    <row r="108" spans="1:9" x14ac:dyDescent="0.3">
      <c r="A108" s="44">
        <v>41224</v>
      </c>
      <c r="B108" s="45">
        <v>59</v>
      </c>
      <c r="C108" s="45" t="s">
        <v>109</v>
      </c>
      <c r="D108" s="45" t="s">
        <v>124</v>
      </c>
      <c r="E108" s="45" t="s">
        <v>129</v>
      </c>
      <c r="F108" s="45" t="s">
        <v>125</v>
      </c>
      <c r="G108" s="46">
        <v>29.95</v>
      </c>
      <c r="H108" s="45">
        <v>6</v>
      </c>
      <c r="I108" s="46">
        <v>179.7</v>
      </c>
    </row>
    <row r="109" spans="1:9" x14ac:dyDescent="0.3">
      <c r="A109" s="44">
        <v>41012</v>
      </c>
      <c r="B109" s="45">
        <v>26</v>
      </c>
      <c r="C109" s="45" t="s">
        <v>119</v>
      </c>
      <c r="D109" s="45" t="s">
        <v>126</v>
      </c>
      <c r="E109" s="45" t="s">
        <v>118</v>
      </c>
      <c r="F109" s="45" t="s">
        <v>121</v>
      </c>
      <c r="G109" s="46">
        <v>19.95</v>
      </c>
      <c r="H109" s="45">
        <v>2</v>
      </c>
      <c r="I109" s="46">
        <v>39.9</v>
      </c>
    </row>
    <row r="110" spans="1:9" x14ac:dyDescent="0.3">
      <c r="A110" s="44">
        <v>41256</v>
      </c>
      <c r="B110" s="45">
        <v>33</v>
      </c>
      <c r="C110" s="45" t="s">
        <v>119</v>
      </c>
      <c r="D110" s="45" t="s">
        <v>123</v>
      </c>
      <c r="E110" s="45" t="s">
        <v>128</v>
      </c>
      <c r="F110" s="45" t="s">
        <v>127</v>
      </c>
      <c r="G110" s="46">
        <v>24.95</v>
      </c>
      <c r="H110" s="45">
        <v>1</v>
      </c>
      <c r="I110" s="46">
        <v>24.95</v>
      </c>
    </row>
    <row r="111" spans="1:9" x14ac:dyDescent="0.3">
      <c r="A111" s="44">
        <v>41187</v>
      </c>
      <c r="B111" s="45">
        <v>20</v>
      </c>
      <c r="C111" s="45" t="s">
        <v>119</v>
      </c>
      <c r="D111" s="45" t="s">
        <v>123</v>
      </c>
      <c r="E111" s="45" t="s">
        <v>130</v>
      </c>
      <c r="F111" s="45" t="s">
        <v>117</v>
      </c>
      <c r="G111" s="46">
        <v>24.95</v>
      </c>
      <c r="H111" s="45">
        <v>4</v>
      </c>
      <c r="I111" s="46">
        <v>99.8</v>
      </c>
    </row>
    <row r="112" spans="1:9" x14ac:dyDescent="0.3">
      <c r="A112" s="44">
        <v>40910</v>
      </c>
      <c r="B112" s="45">
        <v>18</v>
      </c>
      <c r="C112" s="45" t="s">
        <v>119</v>
      </c>
      <c r="D112" s="45" t="s">
        <v>123</v>
      </c>
      <c r="E112" s="45" t="s">
        <v>120</v>
      </c>
      <c r="F112" s="45" t="s">
        <v>117</v>
      </c>
      <c r="G112" s="46">
        <v>21.95</v>
      </c>
      <c r="H112" s="45">
        <v>4</v>
      </c>
      <c r="I112" s="46">
        <v>87.8</v>
      </c>
    </row>
    <row r="113" spans="1:9" x14ac:dyDescent="0.3">
      <c r="A113" s="44">
        <v>41217</v>
      </c>
      <c r="B113" s="45">
        <v>19</v>
      </c>
      <c r="C113" s="45" t="s">
        <v>109</v>
      </c>
      <c r="D113" s="45" t="s">
        <v>124</v>
      </c>
      <c r="E113" s="45" t="s">
        <v>118</v>
      </c>
      <c r="F113" s="45" t="s">
        <v>121</v>
      </c>
      <c r="G113" s="46">
        <v>19.95</v>
      </c>
      <c r="H113" s="45">
        <v>2</v>
      </c>
      <c r="I113" s="46">
        <v>39.9</v>
      </c>
    </row>
    <row r="114" spans="1:9" x14ac:dyDescent="0.3">
      <c r="A114" s="44">
        <v>41028</v>
      </c>
      <c r="B114" s="45">
        <v>61</v>
      </c>
      <c r="C114" s="45" t="s">
        <v>119</v>
      </c>
      <c r="D114" s="45" t="s">
        <v>124</v>
      </c>
      <c r="E114" s="45" t="s">
        <v>120</v>
      </c>
      <c r="F114" s="45" t="s">
        <v>117</v>
      </c>
      <c r="G114" s="46">
        <v>21.95</v>
      </c>
      <c r="H114" s="45">
        <v>3</v>
      </c>
      <c r="I114" s="46">
        <v>65.849999999999994</v>
      </c>
    </row>
    <row r="115" spans="1:9" x14ac:dyDescent="0.3">
      <c r="A115" s="44">
        <v>41184</v>
      </c>
      <c r="B115" s="45">
        <v>39</v>
      </c>
      <c r="C115" s="45" t="s">
        <v>109</v>
      </c>
      <c r="D115" s="45" t="s">
        <v>124</v>
      </c>
      <c r="E115" s="45" t="s">
        <v>118</v>
      </c>
      <c r="F115" s="45" t="s">
        <v>121</v>
      </c>
      <c r="G115" s="46">
        <v>19.95</v>
      </c>
      <c r="H115" s="45">
        <v>10</v>
      </c>
      <c r="I115" s="46">
        <v>199.5</v>
      </c>
    </row>
    <row r="116" spans="1:9" x14ac:dyDescent="0.3">
      <c r="A116" s="44">
        <v>41269</v>
      </c>
      <c r="B116" s="45">
        <v>52</v>
      </c>
      <c r="C116" s="45" t="s">
        <v>109</v>
      </c>
      <c r="D116" s="45" t="s">
        <v>126</v>
      </c>
      <c r="E116" s="45" t="s">
        <v>120</v>
      </c>
      <c r="F116" s="45" t="s">
        <v>117</v>
      </c>
      <c r="G116" s="46">
        <v>21.95</v>
      </c>
      <c r="H116" s="45">
        <v>1</v>
      </c>
      <c r="I116" s="46">
        <v>21.95</v>
      </c>
    </row>
    <row r="117" spans="1:9" x14ac:dyDescent="0.3">
      <c r="A117" s="44">
        <v>41218</v>
      </c>
      <c r="B117" s="45">
        <v>20</v>
      </c>
      <c r="C117" s="45" t="s">
        <v>119</v>
      </c>
      <c r="D117" s="45" t="s">
        <v>123</v>
      </c>
      <c r="E117" s="45" t="s">
        <v>128</v>
      </c>
      <c r="F117" s="45" t="s">
        <v>117</v>
      </c>
      <c r="G117" s="46">
        <v>24.95</v>
      </c>
      <c r="H117" s="45">
        <v>5</v>
      </c>
      <c r="I117" s="46">
        <v>124.75</v>
      </c>
    </row>
    <row r="118" spans="1:9" x14ac:dyDescent="0.3">
      <c r="A118" s="44">
        <v>41228</v>
      </c>
      <c r="B118" s="45">
        <v>50</v>
      </c>
      <c r="C118" s="45" t="s">
        <v>119</v>
      </c>
      <c r="D118" s="45" t="s">
        <v>123</v>
      </c>
      <c r="E118" s="45" t="s">
        <v>129</v>
      </c>
      <c r="F118" s="45" t="s">
        <v>117</v>
      </c>
      <c r="G118" s="46">
        <v>29.95</v>
      </c>
      <c r="H118" s="45">
        <v>1</v>
      </c>
      <c r="I118" s="46">
        <v>29.95</v>
      </c>
    </row>
    <row r="119" spans="1:9" x14ac:dyDescent="0.3">
      <c r="A119" s="44">
        <v>41087</v>
      </c>
      <c r="B119" s="45">
        <v>29</v>
      </c>
      <c r="C119" s="45" t="s">
        <v>109</v>
      </c>
      <c r="D119" s="45" t="s">
        <v>124</v>
      </c>
      <c r="E119" s="45" t="s">
        <v>120</v>
      </c>
      <c r="F119" s="45" t="s">
        <v>125</v>
      </c>
      <c r="G119" s="46">
        <v>21.95</v>
      </c>
      <c r="H119" s="45">
        <v>1</v>
      </c>
      <c r="I119" s="46">
        <v>21.95</v>
      </c>
    </row>
    <row r="120" spans="1:9" x14ac:dyDescent="0.3">
      <c r="A120" s="44">
        <v>41020</v>
      </c>
      <c r="B120" s="45">
        <v>55</v>
      </c>
      <c r="C120" s="45" t="s">
        <v>119</v>
      </c>
      <c r="D120" s="45" t="s">
        <v>123</v>
      </c>
      <c r="E120" s="45" t="s">
        <v>129</v>
      </c>
      <c r="F120" s="45" t="s">
        <v>117</v>
      </c>
      <c r="G120" s="46">
        <v>29.95</v>
      </c>
      <c r="H120" s="45">
        <v>4</v>
      </c>
      <c r="I120" s="46">
        <v>119.8</v>
      </c>
    </row>
    <row r="121" spans="1:9" x14ac:dyDescent="0.3">
      <c r="A121" s="44">
        <v>41177</v>
      </c>
      <c r="B121" s="45">
        <v>18</v>
      </c>
      <c r="C121" s="45" t="s">
        <v>119</v>
      </c>
      <c r="D121" s="45" t="s">
        <v>122</v>
      </c>
      <c r="E121" s="45" t="s">
        <v>129</v>
      </c>
      <c r="F121" s="45" t="s">
        <v>117</v>
      </c>
      <c r="G121" s="46">
        <v>29.95</v>
      </c>
      <c r="H121" s="45">
        <v>3</v>
      </c>
      <c r="I121" s="46">
        <v>89.85</v>
      </c>
    </row>
    <row r="122" spans="1:9" x14ac:dyDescent="0.3">
      <c r="A122" s="44">
        <v>40932</v>
      </c>
      <c r="B122" s="45">
        <v>39</v>
      </c>
      <c r="C122" s="45" t="s">
        <v>109</v>
      </c>
      <c r="D122" s="45" t="s">
        <v>115</v>
      </c>
      <c r="E122" s="45" t="s">
        <v>120</v>
      </c>
      <c r="F122" s="45" t="s">
        <v>127</v>
      </c>
      <c r="G122" s="46">
        <v>21.95</v>
      </c>
      <c r="H122" s="45">
        <v>3</v>
      </c>
      <c r="I122" s="46">
        <v>65.849999999999994</v>
      </c>
    </row>
    <row r="123" spans="1:9" x14ac:dyDescent="0.3">
      <c r="A123" s="44">
        <v>40912</v>
      </c>
      <c r="B123" s="45">
        <v>35</v>
      </c>
      <c r="C123" s="45" t="s">
        <v>119</v>
      </c>
      <c r="D123" s="45" t="s">
        <v>123</v>
      </c>
      <c r="E123" s="45" t="s">
        <v>116</v>
      </c>
      <c r="F123" s="45" t="s">
        <v>125</v>
      </c>
      <c r="G123" s="46">
        <v>22.95</v>
      </c>
      <c r="H123" s="45">
        <v>4</v>
      </c>
      <c r="I123" s="46">
        <v>91.8</v>
      </c>
    </row>
    <row r="124" spans="1:9" x14ac:dyDescent="0.3">
      <c r="A124" s="44">
        <v>41035</v>
      </c>
      <c r="B124" s="45">
        <v>38</v>
      </c>
      <c r="C124" s="45" t="s">
        <v>109</v>
      </c>
      <c r="D124" s="45" t="s">
        <v>122</v>
      </c>
      <c r="E124" s="45" t="s">
        <v>130</v>
      </c>
      <c r="F124" s="45" t="s">
        <v>125</v>
      </c>
      <c r="G124" s="46">
        <v>24.95</v>
      </c>
      <c r="H124" s="45">
        <v>6</v>
      </c>
      <c r="I124" s="46">
        <v>149.69999999999999</v>
      </c>
    </row>
    <row r="125" spans="1:9" x14ac:dyDescent="0.3">
      <c r="A125" s="44">
        <v>41082</v>
      </c>
      <c r="B125" s="45">
        <v>20</v>
      </c>
      <c r="C125" s="45" t="s">
        <v>119</v>
      </c>
      <c r="D125" s="45" t="s">
        <v>123</v>
      </c>
      <c r="E125" s="45" t="s">
        <v>118</v>
      </c>
      <c r="F125" s="45" t="s">
        <v>121</v>
      </c>
      <c r="G125" s="46">
        <v>19.95</v>
      </c>
      <c r="H125" s="45">
        <v>3</v>
      </c>
      <c r="I125" s="46">
        <v>59.849999999999994</v>
      </c>
    </row>
    <row r="126" spans="1:9" x14ac:dyDescent="0.3">
      <c r="A126" s="44">
        <v>41102</v>
      </c>
      <c r="B126" s="45">
        <v>60</v>
      </c>
      <c r="C126" s="45" t="s">
        <v>119</v>
      </c>
      <c r="D126" s="45" t="s">
        <v>126</v>
      </c>
      <c r="E126" s="45" t="s">
        <v>120</v>
      </c>
      <c r="F126" s="45" t="s">
        <v>127</v>
      </c>
      <c r="G126" s="46">
        <v>21.95</v>
      </c>
      <c r="H126" s="45">
        <v>6</v>
      </c>
      <c r="I126" s="46">
        <v>131.69999999999999</v>
      </c>
    </row>
    <row r="127" spans="1:9" x14ac:dyDescent="0.3">
      <c r="A127" s="44">
        <v>41032</v>
      </c>
      <c r="B127" s="45">
        <v>61</v>
      </c>
      <c r="C127" s="45" t="s">
        <v>119</v>
      </c>
      <c r="D127" s="45" t="s">
        <v>123</v>
      </c>
      <c r="E127" s="45" t="s">
        <v>128</v>
      </c>
      <c r="F127" s="45" t="s">
        <v>127</v>
      </c>
      <c r="G127" s="46">
        <v>24.95</v>
      </c>
      <c r="H127" s="45">
        <v>2</v>
      </c>
      <c r="I127" s="46">
        <v>49.9</v>
      </c>
    </row>
    <row r="128" spans="1:9" x14ac:dyDescent="0.3">
      <c r="A128" s="44">
        <v>40977</v>
      </c>
      <c r="B128" s="45">
        <v>62</v>
      </c>
      <c r="C128" s="45" t="s">
        <v>109</v>
      </c>
      <c r="D128" s="45" t="s">
        <v>124</v>
      </c>
      <c r="E128" s="45" t="s">
        <v>120</v>
      </c>
      <c r="F128" s="45" t="s">
        <v>117</v>
      </c>
      <c r="G128" s="46">
        <v>21.95</v>
      </c>
      <c r="H128" s="45">
        <v>2</v>
      </c>
      <c r="I128" s="46">
        <v>43.9</v>
      </c>
    </row>
    <row r="129" spans="1:9" x14ac:dyDescent="0.3">
      <c r="A129" s="44">
        <v>40970</v>
      </c>
      <c r="B129" s="45">
        <v>21</v>
      </c>
      <c r="C129" s="45" t="s">
        <v>119</v>
      </c>
      <c r="D129" s="45" t="s">
        <v>123</v>
      </c>
      <c r="E129" s="45" t="s">
        <v>118</v>
      </c>
      <c r="F129" s="45" t="s">
        <v>127</v>
      </c>
      <c r="G129" s="46">
        <v>19.95</v>
      </c>
      <c r="H129" s="45">
        <v>1</v>
      </c>
      <c r="I129" s="46">
        <v>19.95</v>
      </c>
    </row>
    <row r="130" spans="1:9" x14ac:dyDescent="0.3">
      <c r="A130" s="44">
        <v>40996</v>
      </c>
      <c r="B130" s="45">
        <v>40</v>
      </c>
      <c r="C130" s="45" t="s">
        <v>119</v>
      </c>
      <c r="D130" s="45" t="s">
        <v>126</v>
      </c>
      <c r="E130" s="45" t="s">
        <v>120</v>
      </c>
      <c r="F130" s="45" t="s">
        <v>125</v>
      </c>
      <c r="G130" s="46">
        <v>21.95</v>
      </c>
      <c r="H130" s="45">
        <v>1</v>
      </c>
      <c r="I130" s="46">
        <v>21.95</v>
      </c>
    </row>
    <row r="131" spans="1:9" x14ac:dyDescent="0.3">
      <c r="A131" s="44">
        <v>40923</v>
      </c>
      <c r="B131" s="45">
        <v>25</v>
      </c>
      <c r="C131" s="45" t="s">
        <v>119</v>
      </c>
      <c r="D131" s="45" t="s">
        <v>123</v>
      </c>
      <c r="E131" s="45" t="s">
        <v>130</v>
      </c>
      <c r="F131" s="45" t="s">
        <v>117</v>
      </c>
      <c r="G131" s="46">
        <v>24.95</v>
      </c>
      <c r="H131" s="45">
        <v>1</v>
      </c>
      <c r="I131" s="46">
        <v>24.95</v>
      </c>
    </row>
    <row r="132" spans="1:9" x14ac:dyDescent="0.3">
      <c r="A132" s="44">
        <v>41231</v>
      </c>
      <c r="B132" s="45">
        <v>50</v>
      </c>
      <c r="C132" s="45" t="s">
        <v>119</v>
      </c>
      <c r="D132" s="45" t="s">
        <v>115</v>
      </c>
      <c r="E132" s="45" t="s">
        <v>118</v>
      </c>
      <c r="F132" s="45" t="s">
        <v>117</v>
      </c>
      <c r="G132" s="46">
        <v>19.95</v>
      </c>
      <c r="H132" s="45">
        <v>2</v>
      </c>
      <c r="I132" s="46">
        <v>39.9</v>
      </c>
    </row>
    <row r="133" spans="1:9" x14ac:dyDescent="0.3">
      <c r="A133" s="44">
        <v>40995</v>
      </c>
      <c r="B133" s="45">
        <v>24</v>
      </c>
      <c r="C133" s="45" t="s">
        <v>119</v>
      </c>
      <c r="D133" s="45" t="s">
        <v>123</v>
      </c>
      <c r="E133" s="45" t="s">
        <v>130</v>
      </c>
      <c r="F133" s="45" t="s">
        <v>117</v>
      </c>
      <c r="G133" s="46">
        <v>24.95</v>
      </c>
      <c r="H133" s="45">
        <v>1</v>
      </c>
      <c r="I133" s="46">
        <v>24.95</v>
      </c>
    </row>
    <row r="134" spans="1:9" x14ac:dyDescent="0.3">
      <c r="A134" s="44">
        <v>41132</v>
      </c>
      <c r="B134" s="45">
        <v>28</v>
      </c>
      <c r="C134" s="45" t="s">
        <v>109</v>
      </c>
      <c r="D134" s="45" t="s">
        <v>124</v>
      </c>
      <c r="E134" s="45" t="s">
        <v>116</v>
      </c>
      <c r="F134" s="45" t="s">
        <v>117</v>
      </c>
      <c r="G134" s="46">
        <v>22.95</v>
      </c>
      <c r="H134" s="45">
        <v>5</v>
      </c>
      <c r="I134" s="46">
        <v>114.75</v>
      </c>
    </row>
    <row r="135" spans="1:9" x14ac:dyDescent="0.3">
      <c r="A135" s="44">
        <v>41267</v>
      </c>
      <c r="B135" s="45">
        <v>22</v>
      </c>
      <c r="C135" s="45" t="s">
        <v>119</v>
      </c>
      <c r="D135" s="45" t="s">
        <v>123</v>
      </c>
      <c r="E135" s="45" t="s">
        <v>118</v>
      </c>
      <c r="F135" s="45" t="s">
        <v>127</v>
      </c>
      <c r="G135" s="46">
        <v>19.95</v>
      </c>
      <c r="H135" s="45">
        <v>6</v>
      </c>
      <c r="I135" s="46">
        <v>119.69999999999999</v>
      </c>
    </row>
    <row r="136" spans="1:9" x14ac:dyDescent="0.3">
      <c r="A136" s="44">
        <v>41240</v>
      </c>
      <c r="B136" s="45">
        <v>22</v>
      </c>
      <c r="C136" s="45" t="s">
        <v>119</v>
      </c>
      <c r="D136" s="45" t="s">
        <v>124</v>
      </c>
      <c r="E136" s="45" t="s">
        <v>120</v>
      </c>
      <c r="F136" s="45" t="s">
        <v>117</v>
      </c>
      <c r="G136" s="46">
        <v>21.95</v>
      </c>
      <c r="H136" s="45">
        <v>2</v>
      </c>
      <c r="I136" s="46">
        <v>43.9</v>
      </c>
    </row>
    <row r="137" spans="1:9" x14ac:dyDescent="0.3">
      <c r="A137" s="44">
        <v>40980</v>
      </c>
      <c r="B137" s="45">
        <v>27</v>
      </c>
      <c r="C137" s="45" t="s">
        <v>119</v>
      </c>
      <c r="D137" s="45" t="s">
        <v>123</v>
      </c>
      <c r="E137" s="45" t="s">
        <v>130</v>
      </c>
      <c r="F137" s="45" t="s">
        <v>117</v>
      </c>
      <c r="G137" s="46">
        <v>24.95</v>
      </c>
      <c r="H137" s="45">
        <v>1</v>
      </c>
      <c r="I137" s="46">
        <v>24.95</v>
      </c>
    </row>
    <row r="138" spans="1:9" x14ac:dyDescent="0.3">
      <c r="A138" s="44">
        <v>41168</v>
      </c>
      <c r="B138" s="45">
        <v>54</v>
      </c>
      <c r="C138" s="45" t="s">
        <v>109</v>
      </c>
      <c r="D138" s="45" t="s">
        <v>123</v>
      </c>
      <c r="E138" s="45" t="s">
        <v>128</v>
      </c>
      <c r="F138" s="45" t="s">
        <v>117</v>
      </c>
      <c r="G138" s="46">
        <v>24.95</v>
      </c>
      <c r="H138" s="45">
        <v>7</v>
      </c>
      <c r="I138" s="46">
        <v>174.65</v>
      </c>
    </row>
    <row r="139" spans="1:9" x14ac:dyDescent="0.3">
      <c r="A139" s="44">
        <v>40940</v>
      </c>
      <c r="B139" s="45">
        <v>25</v>
      </c>
      <c r="C139" s="45" t="s">
        <v>119</v>
      </c>
      <c r="D139" s="45" t="s">
        <v>115</v>
      </c>
      <c r="E139" s="45" t="s">
        <v>130</v>
      </c>
      <c r="F139" s="45" t="s">
        <v>117</v>
      </c>
      <c r="G139" s="46">
        <v>24.95</v>
      </c>
      <c r="H139" s="45">
        <v>1</v>
      </c>
      <c r="I139" s="46">
        <v>24.95</v>
      </c>
    </row>
    <row r="140" spans="1:9" x14ac:dyDescent="0.3">
      <c r="A140" s="44">
        <v>41093</v>
      </c>
      <c r="B140" s="45">
        <v>25</v>
      </c>
      <c r="C140" s="45" t="s">
        <v>119</v>
      </c>
      <c r="D140" s="45" t="s">
        <v>123</v>
      </c>
      <c r="E140" s="45" t="s">
        <v>128</v>
      </c>
      <c r="F140" s="45" t="s">
        <v>127</v>
      </c>
      <c r="G140" s="46">
        <v>24.95</v>
      </c>
      <c r="H140" s="45">
        <v>2</v>
      </c>
      <c r="I140" s="46">
        <v>49.9</v>
      </c>
    </row>
    <row r="141" spans="1:9" x14ac:dyDescent="0.3">
      <c r="A141" s="44">
        <v>41151</v>
      </c>
      <c r="B141" s="45">
        <v>30</v>
      </c>
      <c r="C141" s="45" t="s">
        <v>119</v>
      </c>
      <c r="D141" s="45" t="s">
        <v>124</v>
      </c>
      <c r="E141" s="45" t="s">
        <v>118</v>
      </c>
      <c r="F141" s="45" t="s">
        <v>121</v>
      </c>
      <c r="G141" s="46">
        <v>19.95</v>
      </c>
      <c r="H141" s="45">
        <v>1</v>
      </c>
      <c r="I141" s="46">
        <v>19.95</v>
      </c>
    </row>
    <row r="142" spans="1:9" x14ac:dyDescent="0.3">
      <c r="A142" s="44">
        <v>41170</v>
      </c>
      <c r="B142" s="45">
        <v>59</v>
      </c>
      <c r="C142" s="45" t="s">
        <v>109</v>
      </c>
      <c r="D142" s="45" t="s">
        <v>115</v>
      </c>
      <c r="E142" s="45" t="s">
        <v>118</v>
      </c>
      <c r="F142" s="45" t="s">
        <v>125</v>
      </c>
      <c r="G142" s="46">
        <v>19.95</v>
      </c>
      <c r="H142" s="45">
        <v>2</v>
      </c>
      <c r="I142" s="46">
        <v>39.9</v>
      </c>
    </row>
    <row r="143" spans="1:9" x14ac:dyDescent="0.3">
      <c r="A143" s="44">
        <v>41237</v>
      </c>
      <c r="B143" s="45">
        <v>51</v>
      </c>
      <c r="C143" s="45" t="s">
        <v>119</v>
      </c>
      <c r="D143" s="45" t="s">
        <v>123</v>
      </c>
      <c r="E143" s="45" t="s">
        <v>116</v>
      </c>
      <c r="F143" s="45" t="s">
        <v>117</v>
      </c>
      <c r="G143" s="46">
        <v>22.95</v>
      </c>
      <c r="H143" s="45">
        <v>2</v>
      </c>
      <c r="I143" s="46">
        <v>45.9</v>
      </c>
    </row>
    <row r="144" spans="1:9" x14ac:dyDescent="0.3">
      <c r="A144" s="44">
        <v>41265</v>
      </c>
      <c r="B144" s="45">
        <v>38</v>
      </c>
      <c r="C144" s="45" t="s">
        <v>119</v>
      </c>
      <c r="D144" s="45" t="s">
        <v>123</v>
      </c>
      <c r="E144" s="45" t="s">
        <v>129</v>
      </c>
      <c r="F144" s="45" t="s">
        <v>117</v>
      </c>
      <c r="G144" s="46">
        <v>29.95</v>
      </c>
      <c r="H144" s="45">
        <v>6</v>
      </c>
      <c r="I144" s="46">
        <v>179.7</v>
      </c>
    </row>
    <row r="145" spans="1:9" x14ac:dyDescent="0.3">
      <c r="A145" s="44">
        <v>41022</v>
      </c>
      <c r="B145" s="45">
        <v>28</v>
      </c>
      <c r="C145" s="45" t="s">
        <v>119</v>
      </c>
      <c r="D145" s="45" t="s">
        <v>124</v>
      </c>
      <c r="E145" s="45" t="s">
        <v>116</v>
      </c>
      <c r="F145" s="45" t="s">
        <v>125</v>
      </c>
      <c r="G145" s="46">
        <v>22.95</v>
      </c>
      <c r="H145" s="45">
        <v>7</v>
      </c>
      <c r="I145" s="46">
        <v>160.65</v>
      </c>
    </row>
    <row r="146" spans="1:9" x14ac:dyDescent="0.3">
      <c r="A146" s="44">
        <v>41231</v>
      </c>
      <c r="B146" s="45">
        <v>30</v>
      </c>
      <c r="C146" s="45" t="s">
        <v>109</v>
      </c>
      <c r="D146" s="45" t="s">
        <v>126</v>
      </c>
      <c r="E146" s="45" t="s">
        <v>120</v>
      </c>
      <c r="F146" s="45" t="s">
        <v>117</v>
      </c>
      <c r="G146" s="46">
        <v>21.95</v>
      </c>
      <c r="H146" s="45">
        <v>1</v>
      </c>
      <c r="I146" s="46">
        <v>21.95</v>
      </c>
    </row>
    <row r="147" spans="1:9" x14ac:dyDescent="0.3">
      <c r="A147" s="44">
        <v>41210</v>
      </c>
      <c r="B147" s="45">
        <v>43</v>
      </c>
      <c r="C147" s="45" t="s">
        <v>119</v>
      </c>
      <c r="D147" s="45" t="s">
        <v>123</v>
      </c>
      <c r="E147" s="45" t="s">
        <v>130</v>
      </c>
      <c r="F147" s="45" t="s">
        <v>125</v>
      </c>
      <c r="G147" s="46">
        <v>24.95</v>
      </c>
      <c r="H147" s="45">
        <v>5</v>
      </c>
      <c r="I147" s="46">
        <v>124.75</v>
      </c>
    </row>
    <row r="148" spans="1:9" x14ac:dyDescent="0.3">
      <c r="A148" s="44">
        <v>41135</v>
      </c>
      <c r="B148" s="45">
        <v>42</v>
      </c>
      <c r="C148" s="45" t="s">
        <v>119</v>
      </c>
      <c r="D148" s="45" t="s">
        <v>124</v>
      </c>
      <c r="E148" s="45" t="s">
        <v>129</v>
      </c>
      <c r="F148" s="45" t="s">
        <v>117</v>
      </c>
      <c r="G148" s="46">
        <v>29.95</v>
      </c>
      <c r="H148" s="45">
        <v>3</v>
      </c>
      <c r="I148" s="46">
        <v>89.85</v>
      </c>
    </row>
    <row r="149" spans="1:9" x14ac:dyDescent="0.3">
      <c r="A149" s="44">
        <v>41034</v>
      </c>
      <c r="B149" s="45">
        <v>24</v>
      </c>
      <c r="C149" s="45" t="s">
        <v>119</v>
      </c>
      <c r="D149" s="45" t="s">
        <v>123</v>
      </c>
      <c r="E149" s="45" t="s">
        <v>130</v>
      </c>
      <c r="F149" s="45" t="s">
        <v>127</v>
      </c>
      <c r="G149" s="46">
        <v>24.95</v>
      </c>
      <c r="H149" s="45">
        <v>2</v>
      </c>
      <c r="I149" s="46">
        <v>49.9</v>
      </c>
    </row>
    <row r="150" spans="1:9" x14ac:dyDescent="0.3">
      <c r="A150" s="44">
        <v>41146</v>
      </c>
      <c r="B150" s="45">
        <v>47</v>
      </c>
      <c r="C150" s="45" t="s">
        <v>109</v>
      </c>
      <c r="D150" s="45" t="s">
        <v>123</v>
      </c>
      <c r="E150" s="45" t="s">
        <v>116</v>
      </c>
      <c r="F150" s="45" t="s">
        <v>127</v>
      </c>
      <c r="G150" s="46">
        <v>22.95</v>
      </c>
      <c r="H150" s="45">
        <v>1</v>
      </c>
      <c r="I150" s="46">
        <v>22.95</v>
      </c>
    </row>
    <row r="151" spans="1:9" x14ac:dyDescent="0.3">
      <c r="A151" s="44">
        <v>41207</v>
      </c>
      <c r="B151" s="45">
        <v>23</v>
      </c>
      <c r="C151" s="45" t="s">
        <v>119</v>
      </c>
      <c r="D151" s="45" t="s">
        <v>124</v>
      </c>
      <c r="E151" s="45" t="s">
        <v>118</v>
      </c>
      <c r="F151" s="45" t="s">
        <v>127</v>
      </c>
      <c r="G151" s="46">
        <v>19.95</v>
      </c>
      <c r="H151" s="45">
        <v>1</v>
      </c>
      <c r="I151" s="46">
        <v>19.95</v>
      </c>
    </row>
    <row r="152" spans="1:9" x14ac:dyDescent="0.3">
      <c r="A152" s="44">
        <v>41121</v>
      </c>
      <c r="B152" s="45">
        <v>59</v>
      </c>
      <c r="C152" s="45" t="s">
        <v>119</v>
      </c>
      <c r="D152" s="45" t="s">
        <v>124</v>
      </c>
      <c r="E152" s="45" t="s">
        <v>118</v>
      </c>
      <c r="F152" s="45" t="s">
        <v>121</v>
      </c>
      <c r="G152" s="46">
        <v>19.95</v>
      </c>
      <c r="H152" s="45">
        <v>5</v>
      </c>
      <c r="I152" s="46">
        <v>99.75</v>
      </c>
    </row>
    <row r="153" spans="1:9" x14ac:dyDescent="0.3">
      <c r="A153" s="44">
        <v>41115</v>
      </c>
      <c r="B153" s="45">
        <v>22</v>
      </c>
      <c r="C153" s="45" t="s">
        <v>109</v>
      </c>
      <c r="D153" s="45" t="s">
        <v>115</v>
      </c>
      <c r="E153" s="45" t="s">
        <v>116</v>
      </c>
      <c r="F153" s="45" t="s">
        <v>117</v>
      </c>
      <c r="G153" s="46">
        <v>22.95</v>
      </c>
      <c r="H153" s="45">
        <v>4</v>
      </c>
      <c r="I153" s="46">
        <v>91.8</v>
      </c>
    </row>
    <row r="154" spans="1:9" x14ac:dyDescent="0.3">
      <c r="A154" s="44">
        <v>41182</v>
      </c>
      <c r="B154" s="45">
        <v>27</v>
      </c>
      <c r="C154" s="45" t="s">
        <v>109</v>
      </c>
      <c r="D154" s="45" t="s">
        <v>123</v>
      </c>
      <c r="E154" s="45" t="s">
        <v>130</v>
      </c>
      <c r="F154" s="45" t="s">
        <v>127</v>
      </c>
      <c r="G154" s="46">
        <v>24.95</v>
      </c>
      <c r="H154" s="45">
        <v>2</v>
      </c>
      <c r="I154" s="46">
        <v>49.9</v>
      </c>
    </row>
    <row r="155" spans="1:9" x14ac:dyDescent="0.3">
      <c r="A155" s="44">
        <v>41185</v>
      </c>
      <c r="B155" s="45">
        <v>65</v>
      </c>
      <c r="C155" s="45" t="s">
        <v>119</v>
      </c>
      <c r="D155" s="45" t="s">
        <v>126</v>
      </c>
      <c r="E155" s="45" t="s">
        <v>120</v>
      </c>
      <c r="F155" s="45" t="s">
        <v>121</v>
      </c>
      <c r="G155" s="46">
        <v>21.95</v>
      </c>
      <c r="H155" s="45">
        <v>1</v>
      </c>
      <c r="I155" s="46">
        <v>21.95</v>
      </c>
    </row>
    <row r="156" spans="1:9" x14ac:dyDescent="0.3">
      <c r="A156" s="44">
        <v>41000</v>
      </c>
      <c r="B156" s="45">
        <v>27</v>
      </c>
      <c r="C156" s="45" t="s">
        <v>119</v>
      </c>
      <c r="D156" s="45" t="s">
        <v>115</v>
      </c>
      <c r="E156" s="45" t="s">
        <v>116</v>
      </c>
      <c r="F156" s="45" t="s">
        <v>127</v>
      </c>
      <c r="G156" s="46">
        <v>22.95</v>
      </c>
      <c r="H156" s="45">
        <v>2</v>
      </c>
      <c r="I156" s="46">
        <v>45.9</v>
      </c>
    </row>
    <row r="157" spans="1:9" x14ac:dyDescent="0.3">
      <c r="A157" s="44">
        <v>41258</v>
      </c>
      <c r="B157" s="45">
        <v>27</v>
      </c>
      <c r="C157" s="45" t="s">
        <v>119</v>
      </c>
      <c r="D157" s="45" t="s">
        <v>122</v>
      </c>
      <c r="E157" s="45" t="s">
        <v>116</v>
      </c>
      <c r="F157" s="45" t="s">
        <v>121</v>
      </c>
      <c r="G157" s="46">
        <v>22.95</v>
      </c>
      <c r="H157" s="45">
        <v>1</v>
      </c>
      <c r="I157" s="46">
        <v>22.95</v>
      </c>
    </row>
    <row r="158" spans="1:9" x14ac:dyDescent="0.3">
      <c r="A158" s="44">
        <v>40915</v>
      </c>
      <c r="B158" s="45">
        <v>28</v>
      </c>
      <c r="C158" s="45" t="s">
        <v>119</v>
      </c>
      <c r="D158" s="45" t="s">
        <v>124</v>
      </c>
      <c r="E158" s="45" t="s">
        <v>116</v>
      </c>
      <c r="F158" s="45" t="s">
        <v>117</v>
      </c>
      <c r="G158" s="46">
        <v>22.95</v>
      </c>
      <c r="H158" s="45">
        <v>2</v>
      </c>
      <c r="I158" s="46">
        <v>45.9</v>
      </c>
    </row>
    <row r="159" spans="1:9" x14ac:dyDescent="0.3">
      <c r="A159" s="44">
        <v>41113</v>
      </c>
      <c r="B159" s="45">
        <v>22</v>
      </c>
      <c r="C159" s="45" t="s">
        <v>109</v>
      </c>
      <c r="D159" s="45" t="s">
        <v>124</v>
      </c>
      <c r="E159" s="45" t="s">
        <v>130</v>
      </c>
      <c r="F159" s="45" t="s">
        <v>117</v>
      </c>
      <c r="G159" s="46">
        <v>24.95</v>
      </c>
      <c r="H159" s="45">
        <v>1</v>
      </c>
      <c r="I159" s="46">
        <v>24.95</v>
      </c>
    </row>
    <row r="160" spans="1:9" x14ac:dyDescent="0.3">
      <c r="A160" s="44">
        <v>40984</v>
      </c>
      <c r="B160" s="45">
        <v>42</v>
      </c>
      <c r="C160" s="45" t="s">
        <v>119</v>
      </c>
      <c r="D160" s="45" t="s">
        <v>124</v>
      </c>
      <c r="E160" s="45" t="s">
        <v>118</v>
      </c>
      <c r="F160" s="45" t="s">
        <v>121</v>
      </c>
      <c r="G160" s="46">
        <v>19.95</v>
      </c>
      <c r="H160" s="45">
        <v>2</v>
      </c>
      <c r="I160" s="46">
        <v>39.9</v>
      </c>
    </row>
    <row r="161" spans="1:9" x14ac:dyDescent="0.3">
      <c r="A161" s="44">
        <v>41247</v>
      </c>
      <c r="B161" s="45">
        <v>25</v>
      </c>
      <c r="C161" s="45" t="s">
        <v>119</v>
      </c>
      <c r="D161" s="45" t="s">
        <v>122</v>
      </c>
      <c r="E161" s="45" t="s">
        <v>129</v>
      </c>
      <c r="F161" s="45" t="s">
        <v>121</v>
      </c>
      <c r="G161" s="46">
        <v>29.95</v>
      </c>
      <c r="H161" s="45">
        <v>6</v>
      </c>
      <c r="I161" s="46">
        <v>179.7</v>
      </c>
    </row>
    <row r="162" spans="1:9" x14ac:dyDescent="0.3">
      <c r="A162" s="44">
        <v>40916</v>
      </c>
      <c r="B162" s="45">
        <v>41</v>
      </c>
      <c r="C162" s="45" t="s">
        <v>109</v>
      </c>
      <c r="D162" s="45" t="s">
        <v>115</v>
      </c>
      <c r="E162" s="45" t="s">
        <v>120</v>
      </c>
      <c r="F162" s="45" t="s">
        <v>117</v>
      </c>
      <c r="G162" s="46">
        <v>21.95</v>
      </c>
      <c r="H162" s="45">
        <v>1</v>
      </c>
      <c r="I162" s="46">
        <v>21.95</v>
      </c>
    </row>
    <row r="163" spans="1:9" x14ac:dyDescent="0.3">
      <c r="A163" s="44">
        <v>41062</v>
      </c>
      <c r="B163" s="45">
        <v>46</v>
      </c>
      <c r="C163" s="45" t="s">
        <v>109</v>
      </c>
      <c r="D163" s="45" t="s">
        <v>124</v>
      </c>
      <c r="E163" s="45" t="s">
        <v>130</v>
      </c>
      <c r="F163" s="45" t="s">
        <v>117</v>
      </c>
      <c r="G163" s="46">
        <v>24.95</v>
      </c>
      <c r="H163" s="45">
        <v>1</v>
      </c>
      <c r="I163" s="46">
        <v>24.95</v>
      </c>
    </row>
    <row r="164" spans="1:9" x14ac:dyDescent="0.3">
      <c r="A164" s="44">
        <v>41139</v>
      </c>
      <c r="B164" s="45">
        <v>41</v>
      </c>
      <c r="C164" s="45" t="s">
        <v>119</v>
      </c>
      <c r="D164" s="45" t="s">
        <v>126</v>
      </c>
      <c r="E164" s="45" t="s">
        <v>128</v>
      </c>
      <c r="F164" s="45" t="s">
        <v>117</v>
      </c>
      <c r="G164" s="46">
        <v>24.95</v>
      </c>
      <c r="H164" s="45">
        <v>3</v>
      </c>
      <c r="I164" s="46">
        <v>74.849999999999994</v>
      </c>
    </row>
    <row r="165" spans="1:9" x14ac:dyDescent="0.3">
      <c r="A165" s="44">
        <v>41023</v>
      </c>
      <c r="B165" s="45">
        <v>29</v>
      </c>
      <c r="C165" s="45" t="s">
        <v>119</v>
      </c>
      <c r="D165" s="45" t="s">
        <v>115</v>
      </c>
      <c r="E165" s="45" t="s">
        <v>118</v>
      </c>
      <c r="F165" s="45" t="s">
        <v>117</v>
      </c>
      <c r="G165" s="46">
        <v>19.95</v>
      </c>
      <c r="H165" s="45">
        <v>4</v>
      </c>
      <c r="I165" s="46">
        <v>79.8</v>
      </c>
    </row>
    <row r="166" spans="1:9" x14ac:dyDescent="0.3">
      <c r="A166" s="44">
        <v>41244</v>
      </c>
      <c r="B166" s="45">
        <v>50</v>
      </c>
      <c r="C166" s="45" t="s">
        <v>119</v>
      </c>
      <c r="D166" s="45" t="s">
        <v>123</v>
      </c>
      <c r="E166" s="45" t="s">
        <v>118</v>
      </c>
      <c r="F166" s="45" t="s">
        <v>127</v>
      </c>
      <c r="G166" s="46">
        <v>19.95</v>
      </c>
      <c r="H166" s="45">
        <v>1</v>
      </c>
      <c r="I166" s="46">
        <v>19.95</v>
      </c>
    </row>
    <row r="167" spans="1:9" x14ac:dyDescent="0.3">
      <c r="A167" s="44">
        <v>41274</v>
      </c>
      <c r="B167" s="45">
        <v>50</v>
      </c>
      <c r="C167" s="45" t="s">
        <v>109</v>
      </c>
      <c r="D167" s="45" t="s">
        <v>123</v>
      </c>
      <c r="E167" s="45" t="s">
        <v>116</v>
      </c>
      <c r="F167" s="45" t="s">
        <v>127</v>
      </c>
      <c r="G167" s="46">
        <v>22.95</v>
      </c>
      <c r="H167" s="45">
        <v>1</v>
      </c>
      <c r="I167" s="46">
        <v>22.95</v>
      </c>
    </row>
    <row r="168" spans="1:9" x14ac:dyDescent="0.3">
      <c r="A168" s="44">
        <v>41029</v>
      </c>
      <c r="B168" s="45">
        <v>34</v>
      </c>
      <c r="C168" s="45" t="s">
        <v>109</v>
      </c>
      <c r="D168" s="45" t="s">
        <v>124</v>
      </c>
      <c r="E168" s="45" t="s">
        <v>116</v>
      </c>
      <c r="F168" s="45" t="s">
        <v>127</v>
      </c>
      <c r="G168" s="46">
        <v>22.95</v>
      </c>
      <c r="H168" s="45">
        <v>2</v>
      </c>
      <c r="I168" s="46">
        <v>45.9</v>
      </c>
    </row>
    <row r="169" spans="1:9" x14ac:dyDescent="0.3">
      <c r="A169" s="44">
        <v>40984</v>
      </c>
      <c r="B169" s="45">
        <v>24</v>
      </c>
      <c r="C169" s="45" t="s">
        <v>109</v>
      </c>
      <c r="D169" s="45" t="s">
        <v>122</v>
      </c>
      <c r="E169" s="45" t="s">
        <v>120</v>
      </c>
      <c r="F169" s="45" t="s">
        <v>117</v>
      </c>
      <c r="G169" s="46">
        <v>21.95</v>
      </c>
      <c r="H169" s="45">
        <v>3</v>
      </c>
      <c r="I169" s="46">
        <v>65.849999999999994</v>
      </c>
    </row>
    <row r="170" spans="1:9" x14ac:dyDescent="0.3">
      <c r="A170" s="44">
        <v>40936</v>
      </c>
      <c r="B170" s="45">
        <v>29</v>
      </c>
      <c r="C170" s="45" t="s">
        <v>119</v>
      </c>
      <c r="D170" s="45" t="s">
        <v>115</v>
      </c>
      <c r="E170" s="45" t="s">
        <v>118</v>
      </c>
      <c r="F170" s="45" t="s">
        <v>117</v>
      </c>
      <c r="G170" s="46">
        <v>19.95</v>
      </c>
      <c r="H170" s="45">
        <v>7</v>
      </c>
      <c r="I170" s="46">
        <v>139.65</v>
      </c>
    </row>
    <row r="171" spans="1:9" x14ac:dyDescent="0.3">
      <c r="A171" s="44">
        <v>41124</v>
      </c>
      <c r="B171" s="45">
        <v>35</v>
      </c>
      <c r="C171" s="45" t="s">
        <v>119</v>
      </c>
      <c r="D171" s="45" t="s">
        <v>115</v>
      </c>
      <c r="E171" s="45" t="s">
        <v>116</v>
      </c>
      <c r="F171" s="45" t="s">
        <v>127</v>
      </c>
      <c r="G171" s="46">
        <v>22.95</v>
      </c>
      <c r="H171" s="45">
        <v>1</v>
      </c>
      <c r="I171" s="46">
        <v>22.95</v>
      </c>
    </row>
    <row r="172" spans="1:9" x14ac:dyDescent="0.3">
      <c r="A172" s="44">
        <v>41224</v>
      </c>
      <c r="B172" s="45">
        <v>24</v>
      </c>
      <c r="C172" s="45" t="s">
        <v>119</v>
      </c>
      <c r="D172" s="45" t="s">
        <v>123</v>
      </c>
      <c r="E172" s="45" t="s">
        <v>118</v>
      </c>
      <c r="F172" s="45" t="s">
        <v>117</v>
      </c>
      <c r="G172" s="46">
        <v>19.95</v>
      </c>
      <c r="H172" s="45">
        <v>2</v>
      </c>
      <c r="I172" s="46">
        <v>39.9</v>
      </c>
    </row>
    <row r="173" spans="1:9" x14ac:dyDescent="0.3">
      <c r="A173" s="44">
        <v>41256</v>
      </c>
      <c r="B173" s="45">
        <v>23</v>
      </c>
      <c r="C173" s="45" t="s">
        <v>109</v>
      </c>
      <c r="D173" s="45" t="s">
        <v>123</v>
      </c>
      <c r="E173" s="45" t="s">
        <v>120</v>
      </c>
      <c r="F173" s="45" t="s">
        <v>125</v>
      </c>
      <c r="G173" s="46">
        <v>21.95</v>
      </c>
      <c r="H173" s="45">
        <v>5</v>
      </c>
      <c r="I173" s="46">
        <v>109.75</v>
      </c>
    </row>
    <row r="174" spans="1:9" x14ac:dyDescent="0.3">
      <c r="A174" s="44">
        <v>40995</v>
      </c>
      <c r="B174" s="45">
        <v>31</v>
      </c>
      <c r="C174" s="45" t="s">
        <v>119</v>
      </c>
      <c r="D174" s="45" t="s">
        <v>124</v>
      </c>
      <c r="E174" s="45" t="s">
        <v>116</v>
      </c>
      <c r="F174" s="45" t="s">
        <v>127</v>
      </c>
      <c r="G174" s="46">
        <v>22.95</v>
      </c>
      <c r="H174" s="45">
        <v>7</v>
      </c>
      <c r="I174" s="46">
        <v>160.65</v>
      </c>
    </row>
    <row r="175" spans="1:9" x14ac:dyDescent="0.3">
      <c r="A175" s="44">
        <v>41190</v>
      </c>
      <c r="B175" s="45">
        <v>24</v>
      </c>
      <c r="C175" s="45" t="s">
        <v>109</v>
      </c>
      <c r="D175" s="45" t="s">
        <v>124</v>
      </c>
      <c r="E175" s="45" t="s">
        <v>130</v>
      </c>
      <c r="F175" s="45" t="s">
        <v>127</v>
      </c>
      <c r="G175" s="46">
        <v>24.95</v>
      </c>
      <c r="H175" s="45">
        <v>2</v>
      </c>
      <c r="I175" s="46">
        <v>49.9</v>
      </c>
    </row>
    <row r="176" spans="1:9" x14ac:dyDescent="0.3">
      <c r="A176" s="44">
        <v>41124</v>
      </c>
      <c r="B176" s="45">
        <v>30</v>
      </c>
      <c r="C176" s="45" t="s">
        <v>119</v>
      </c>
      <c r="D176" s="45" t="s">
        <v>123</v>
      </c>
      <c r="E176" s="45" t="s">
        <v>116</v>
      </c>
      <c r="F176" s="45" t="s">
        <v>127</v>
      </c>
      <c r="G176" s="46">
        <v>22.95</v>
      </c>
      <c r="H176" s="45">
        <v>1</v>
      </c>
      <c r="I176" s="46">
        <v>22.95</v>
      </c>
    </row>
    <row r="177" spans="1:9" x14ac:dyDescent="0.3">
      <c r="A177" s="44">
        <v>40978</v>
      </c>
      <c r="B177" s="45">
        <v>22</v>
      </c>
      <c r="C177" s="45" t="s">
        <v>109</v>
      </c>
      <c r="D177" s="45" t="s">
        <v>123</v>
      </c>
      <c r="E177" s="45" t="s">
        <v>116</v>
      </c>
      <c r="F177" s="45" t="s">
        <v>117</v>
      </c>
      <c r="G177" s="46">
        <v>22.95</v>
      </c>
      <c r="H177" s="45">
        <v>2</v>
      </c>
      <c r="I177" s="46">
        <v>45.9</v>
      </c>
    </row>
    <row r="178" spans="1:9" x14ac:dyDescent="0.3">
      <c r="A178" s="44">
        <v>40970</v>
      </c>
      <c r="B178" s="45">
        <v>43</v>
      </c>
      <c r="C178" s="45" t="s">
        <v>119</v>
      </c>
      <c r="D178" s="45" t="s">
        <v>123</v>
      </c>
      <c r="E178" s="45" t="s">
        <v>116</v>
      </c>
      <c r="F178" s="45" t="s">
        <v>121</v>
      </c>
      <c r="G178" s="46">
        <v>22.95</v>
      </c>
      <c r="H178" s="45">
        <v>3</v>
      </c>
      <c r="I178" s="46">
        <v>68.849999999999994</v>
      </c>
    </row>
    <row r="179" spans="1:9" x14ac:dyDescent="0.3">
      <c r="A179" s="44">
        <v>40934</v>
      </c>
      <c r="B179" s="45">
        <v>55</v>
      </c>
      <c r="C179" s="45" t="s">
        <v>119</v>
      </c>
      <c r="D179" s="45" t="s">
        <v>123</v>
      </c>
      <c r="E179" s="45" t="s">
        <v>116</v>
      </c>
      <c r="F179" s="45" t="s">
        <v>117</v>
      </c>
      <c r="G179" s="46">
        <v>22.95</v>
      </c>
      <c r="H179" s="45">
        <v>10</v>
      </c>
      <c r="I179" s="46">
        <v>229.5</v>
      </c>
    </row>
    <row r="180" spans="1:9" x14ac:dyDescent="0.3">
      <c r="A180" s="44">
        <v>41035</v>
      </c>
      <c r="B180" s="45">
        <v>38</v>
      </c>
      <c r="C180" s="45" t="s">
        <v>119</v>
      </c>
      <c r="D180" s="45" t="s">
        <v>122</v>
      </c>
      <c r="E180" s="45" t="s">
        <v>129</v>
      </c>
      <c r="F180" s="45" t="s">
        <v>117</v>
      </c>
      <c r="G180" s="46">
        <v>29.95</v>
      </c>
      <c r="H180" s="45">
        <v>1</v>
      </c>
      <c r="I180" s="46">
        <v>29.95</v>
      </c>
    </row>
    <row r="181" spans="1:9" x14ac:dyDescent="0.3">
      <c r="A181" s="44">
        <v>40978</v>
      </c>
      <c r="B181" s="45">
        <v>28</v>
      </c>
      <c r="C181" s="45" t="s">
        <v>109</v>
      </c>
      <c r="D181" s="45" t="s">
        <v>123</v>
      </c>
      <c r="E181" s="45" t="s">
        <v>118</v>
      </c>
      <c r="F181" s="45" t="s">
        <v>117</v>
      </c>
      <c r="G181" s="46">
        <v>19.95</v>
      </c>
      <c r="H181" s="45">
        <v>2</v>
      </c>
      <c r="I181" s="46">
        <v>39.9</v>
      </c>
    </row>
    <row r="182" spans="1:9" x14ac:dyDescent="0.3">
      <c r="A182" s="44">
        <v>41231</v>
      </c>
      <c r="B182" s="45">
        <v>30</v>
      </c>
      <c r="C182" s="45" t="s">
        <v>109</v>
      </c>
      <c r="D182" s="45" t="s">
        <v>124</v>
      </c>
      <c r="E182" s="45" t="s">
        <v>120</v>
      </c>
      <c r="F182" s="45" t="s">
        <v>127</v>
      </c>
      <c r="G182" s="46">
        <v>21.95</v>
      </c>
      <c r="H182" s="45">
        <v>2</v>
      </c>
      <c r="I182" s="46">
        <v>43.9</v>
      </c>
    </row>
    <row r="183" spans="1:9" x14ac:dyDescent="0.3">
      <c r="A183" s="44">
        <v>40938</v>
      </c>
      <c r="B183" s="45">
        <v>35</v>
      </c>
      <c r="C183" s="45" t="s">
        <v>109</v>
      </c>
      <c r="D183" s="45" t="s">
        <v>126</v>
      </c>
      <c r="E183" s="45" t="s">
        <v>118</v>
      </c>
      <c r="F183" s="45" t="s">
        <v>117</v>
      </c>
      <c r="G183" s="46">
        <v>19.95</v>
      </c>
      <c r="H183" s="45">
        <v>1</v>
      </c>
      <c r="I183" s="46">
        <v>19.95</v>
      </c>
    </row>
    <row r="184" spans="1:9" x14ac:dyDescent="0.3">
      <c r="A184" s="44">
        <v>41092</v>
      </c>
      <c r="B184" s="45">
        <v>41</v>
      </c>
      <c r="C184" s="45" t="s">
        <v>119</v>
      </c>
      <c r="D184" s="45" t="s">
        <v>123</v>
      </c>
      <c r="E184" s="45" t="s">
        <v>129</v>
      </c>
      <c r="F184" s="45" t="s">
        <v>117</v>
      </c>
      <c r="G184" s="46">
        <v>29.95</v>
      </c>
      <c r="H184" s="45">
        <v>2</v>
      </c>
      <c r="I184" s="46">
        <v>59.9</v>
      </c>
    </row>
    <row r="185" spans="1:9" x14ac:dyDescent="0.3">
      <c r="A185" s="44">
        <v>41195</v>
      </c>
      <c r="B185" s="45">
        <v>28</v>
      </c>
      <c r="C185" s="45" t="s">
        <v>109</v>
      </c>
      <c r="D185" s="45" t="s">
        <v>126</v>
      </c>
      <c r="E185" s="45" t="s">
        <v>118</v>
      </c>
      <c r="F185" s="45" t="s">
        <v>121</v>
      </c>
      <c r="G185" s="46">
        <v>19.95</v>
      </c>
      <c r="H185" s="45">
        <v>5</v>
      </c>
      <c r="I185" s="46">
        <v>99.75</v>
      </c>
    </row>
    <row r="186" spans="1:9" x14ac:dyDescent="0.3">
      <c r="A186" s="44">
        <v>40946</v>
      </c>
      <c r="B186" s="45">
        <v>65</v>
      </c>
      <c r="C186" s="45" t="s">
        <v>119</v>
      </c>
      <c r="D186" s="45" t="s">
        <v>126</v>
      </c>
      <c r="E186" s="45" t="s">
        <v>130</v>
      </c>
      <c r="F186" s="45" t="s">
        <v>127</v>
      </c>
      <c r="G186" s="46">
        <v>24.95</v>
      </c>
      <c r="H186" s="45">
        <v>7</v>
      </c>
      <c r="I186" s="46">
        <v>174.65</v>
      </c>
    </row>
    <row r="187" spans="1:9" x14ac:dyDescent="0.3">
      <c r="A187" s="44">
        <v>41065</v>
      </c>
      <c r="B187" s="45">
        <v>20</v>
      </c>
      <c r="C187" s="45" t="s">
        <v>119</v>
      </c>
      <c r="D187" s="45" t="s">
        <v>115</v>
      </c>
      <c r="E187" s="45" t="s">
        <v>120</v>
      </c>
      <c r="F187" s="45" t="s">
        <v>117</v>
      </c>
      <c r="G187" s="46">
        <v>21.95</v>
      </c>
      <c r="H187" s="45">
        <v>3</v>
      </c>
      <c r="I187" s="46">
        <v>65.849999999999994</v>
      </c>
    </row>
    <row r="188" spans="1:9" x14ac:dyDescent="0.3">
      <c r="A188" s="44">
        <v>41215</v>
      </c>
      <c r="B188" s="45">
        <v>39</v>
      </c>
      <c r="C188" s="45" t="s">
        <v>119</v>
      </c>
      <c r="D188" s="45" t="s">
        <v>123</v>
      </c>
      <c r="E188" s="45" t="s">
        <v>128</v>
      </c>
      <c r="F188" s="45" t="s">
        <v>127</v>
      </c>
      <c r="G188" s="46">
        <v>24.95</v>
      </c>
      <c r="H188" s="45">
        <v>5</v>
      </c>
      <c r="I188" s="46">
        <v>124.75</v>
      </c>
    </row>
    <row r="189" spans="1:9" x14ac:dyDescent="0.3">
      <c r="A189" s="44">
        <v>41256</v>
      </c>
      <c r="B189" s="45">
        <v>19</v>
      </c>
      <c r="C189" s="45" t="s">
        <v>119</v>
      </c>
      <c r="D189" s="45" t="s">
        <v>123</v>
      </c>
      <c r="E189" s="45" t="s">
        <v>120</v>
      </c>
      <c r="F189" s="45" t="s">
        <v>121</v>
      </c>
      <c r="G189" s="46">
        <v>21.95</v>
      </c>
      <c r="H189" s="45">
        <v>4</v>
      </c>
      <c r="I189" s="46">
        <v>87.8</v>
      </c>
    </row>
    <row r="190" spans="1:9" x14ac:dyDescent="0.3">
      <c r="A190" s="44">
        <v>41205</v>
      </c>
      <c r="B190" s="45">
        <v>64</v>
      </c>
      <c r="C190" s="45" t="s">
        <v>119</v>
      </c>
      <c r="D190" s="45" t="s">
        <v>123</v>
      </c>
      <c r="E190" s="45" t="s">
        <v>116</v>
      </c>
      <c r="F190" s="45" t="s">
        <v>117</v>
      </c>
      <c r="G190" s="46">
        <v>22.95</v>
      </c>
      <c r="H190" s="45">
        <v>10</v>
      </c>
      <c r="I190" s="46">
        <v>229.5</v>
      </c>
    </row>
    <row r="191" spans="1:9" x14ac:dyDescent="0.3">
      <c r="A191" s="44">
        <v>41265</v>
      </c>
      <c r="B191" s="45">
        <v>42</v>
      </c>
      <c r="C191" s="45" t="s">
        <v>109</v>
      </c>
      <c r="D191" s="45" t="s">
        <v>124</v>
      </c>
      <c r="E191" s="45" t="s">
        <v>118</v>
      </c>
      <c r="F191" s="45" t="s">
        <v>125</v>
      </c>
      <c r="G191" s="46">
        <v>19.95</v>
      </c>
      <c r="H191" s="45">
        <v>5</v>
      </c>
      <c r="I191" s="46">
        <v>99.75</v>
      </c>
    </row>
    <row r="192" spans="1:9" x14ac:dyDescent="0.3">
      <c r="A192" s="44">
        <v>41142</v>
      </c>
      <c r="B192" s="45">
        <v>24</v>
      </c>
      <c r="C192" s="45" t="s">
        <v>109</v>
      </c>
      <c r="D192" s="45" t="s">
        <v>124</v>
      </c>
      <c r="E192" s="45" t="s">
        <v>118</v>
      </c>
      <c r="F192" s="45" t="s">
        <v>127</v>
      </c>
      <c r="G192" s="46">
        <v>19.95</v>
      </c>
      <c r="H192" s="45">
        <v>1</v>
      </c>
      <c r="I192" s="46">
        <v>19.95</v>
      </c>
    </row>
    <row r="193" spans="1:9" x14ac:dyDescent="0.3">
      <c r="A193" s="44">
        <v>41149</v>
      </c>
      <c r="B193" s="45">
        <v>24</v>
      </c>
      <c r="C193" s="45" t="s">
        <v>109</v>
      </c>
      <c r="D193" s="45" t="s">
        <v>124</v>
      </c>
      <c r="E193" s="45" t="s">
        <v>118</v>
      </c>
      <c r="F193" s="45" t="s">
        <v>127</v>
      </c>
      <c r="G193" s="46">
        <v>19.95</v>
      </c>
      <c r="H193" s="45">
        <v>1</v>
      </c>
      <c r="I193" s="46">
        <v>19.95</v>
      </c>
    </row>
    <row r="194" spans="1:9" x14ac:dyDescent="0.3">
      <c r="A194" s="44">
        <v>41080</v>
      </c>
      <c r="B194" s="45">
        <v>18</v>
      </c>
      <c r="C194" s="45" t="s">
        <v>119</v>
      </c>
      <c r="D194" s="45" t="s">
        <v>122</v>
      </c>
      <c r="E194" s="45" t="s">
        <v>130</v>
      </c>
      <c r="F194" s="45" t="s">
        <v>127</v>
      </c>
      <c r="G194" s="46">
        <v>24.95</v>
      </c>
      <c r="H194" s="45">
        <v>4</v>
      </c>
      <c r="I194" s="46">
        <v>99.8</v>
      </c>
    </row>
    <row r="195" spans="1:9" x14ac:dyDescent="0.3">
      <c r="A195" s="44">
        <v>41029</v>
      </c>
      <c r="B195" s="45">
        <v>36</v>
      </c>
      <c r="C195" s="45" t="s">
        <v>109</v>
      </c>
      <c r="D195" s="45" t="s">
        <v>115</v>
      </c>
      <c r="E195" s="45" t="s">
        <v>130</v>
      </c>
      <c r="F195" s="45" t="s">
        <v>121</v>
      </c>
      <c r="G195" s="46">
        <v>24.95</v>
      </c>
      <c r="H195" s="45">
        <v>1</v>
      </c>
      <c r="I195" s="46">
        <v>24.95</v>
      </c>
    </row>
    <row r="196" spans="1:9" x14ac:dyDescent="0.3">
      <c r="A196" s="44">
        <v>41196</v>
      </c>
      <c r="B196" s="45">
        <v>61</v>
      </c>
      <c r="C196" s="45" t="s">
        <v>119</v>
      </c>
      <c r="D196" s="45" t="s">
        <v>115</v>
      </c>
      <c r="E196" s="45" t="s">
        <v>116</v>
      </c>
      <c r="F196" s="45" t="s">
        <v>127</v>
      </c>
      <c r="G196" s="46">
        <v>22.95</v>
      </c>
      <c r="H196" s="45">
        <v>5</v>
      </c>
      <c r="I196" s="46">
        <v>114.75</v>
      </c>
    </row>
    <row r="197" spans="1:9" x14ac:dyDescent="0.3">
      <c r="A197" s="44">
        <v>41125</v>
      </c>
      <c r="B197" s="45">
        <v>22</v>
      </c>
      <c r="C197" s="45" t="s">
        <v>119</v>
      </c>
      <c r="D197" s="45" t="s">
        <v>123</v>
      </c>
      <c r="E197" s="45" t="s">
        <v>118</v>
      </c>
      <c r="F197" s="45" t="s">
        <v>117</v>
      </c>
      <c r="G197" s="46">
        <v>19.95</v>
      </c>
      <c r="H197" s="45">
        <v>3</v>
      </c>
      <c r="I197" s="46">
        <v>59.849999999999994</v>
      </c>
    </row>
    <row r="198" spans="1:9" x14ac:dyDescent="0.3">
      <c r="A198" s="44">
        <v>41210</v>
      </c>
      <c r="B198" s="45">
        <v>55</v>
      </c>
      <c r="C198" s="45" t="s">
        <v>109</v>
      </c>
      <c r="D198" s="45" t="s">
        <v>124</v>
      </c>
      <c r="E198" s="45" t="s">
        <v>120</v>
      </c>
      <c r="F198" s="45" t="s">
        <v>117</v>
      </c>
      <c r="G198" s="46">
        <v>21.95</v>
      </c>
      <c r="H198" s="45">
        <v>2</v>
      </c>
      <c r="I198" s="46">
        <v>43.9</v>
      </c>
    </row>
    <row r="199" spans="1:9" x14ac:dyDescent="0.3">
      <c r="A199" s="44">
        <v>41217</v>
      </c>
      <c r="B199" s="45">
        <v>27</v>
      </c>
      <c r="C199" s="45" t="s">
        <v>119</v>
      </c>
      <c r="D199" s="45" t="s">
        <v>122</v>
      </c>
      <c r="E199" s="45" t="s">
        <v>128</v>
      </c>
      <c r="F199" s="45" t="s">
        <v>117</v>
      </c>
      <c r="G199" s="46">
        <v>24.95</v>
      </c>
      <c r="H199" s="45">
        <v>3</v>
      </c>
      <c r="I199" s="46">
        <v>74.849999999999994</v>
      </c>
    </row>
    <row r="200" spans="1:9" x14ac:dyDescent="0.3">
      <c r="A200" s="44">
        <v>40913</v>
      </c>
      <c r="B200" s="45">
        <v>49</v>
      </c>
      <c r="C200" s="45" t="s">
        <v>119</v>
      </c>
      <c r="D200" s="45" t="s">
        <v>124</v>
      </c>
      <c r="E200" s="45" t="s">
        <v>118</v>
      </c>
      <c r="F200" s="45" t="s">
        <v>127</v>
      </c>
      <c r="G200" s="46">
        <v>19.95</v>
      </c>
      <c r="H200" s="45">
        <v>1</v>
      </c>
      <c r="I200" s="46">
        <v>19.95</v>
      </c>
    </row>
    <row r="201" spans="1:9" x14ac:dyDescent="0.3">
      <c r="A201" s="44">
        <v>41254</v>
      </c>
      <c r="B201" s="45">
        <v>29</v>
      </c>
      <c r="C201" s="45" t="s">
        <v>109</v>
      </c>
      <c r="D201" s="45" t="s">
        <v>123</v>
      </c>
      <c r="E201" s="45" t="s">
        <v>116</v>
      </c>
      <c r="F201" s="45" t="s">
        <v>117</v>
      </c>
      <c r="G201" s="46">
        <v>22.95</v>
      </c>
      <c r="H201" s="45">
        <v>1</v>
      </c>
      <c r="I201" s="46">
        <v>22.95</v>
      </c>
    </row>
    <row r="202" spans="1:9" x14ac:dyDescent="0.3">
      <c r="A202" s="44">
        <v>41108</v>
      </c>
      <c r="B202" s="45">
        <v>33</v>
      </c>
      <c r="C202" s="45" t="s">
        <v>119</v>
      </c>
      <c r="D202" s="45" t="s">
        <v>124</v>
      </c>
      <c r="E202" s="45" t="s">
        <v>120</v>
      </c>
      <c r="F202" s="45" t="s">
        <v>117</v>
      </c>
      <c r="G202" s="46">
        <v>21.95</v>
      </c>
      <c r="H202" s="45">
        <v>7</v>
      </c>
      <c r="I202" s="46">
        <v>153.65</v>
      </c>
    </row>
    <row r="203" spans="1:9" x14ac:dyDescent="0.3">
      <c r="A203" s="44">
        <v>41060</v>
      </c>
      <c r="B203" s="45">
        <v>52</v>
      </c>
      <c r="C203" s="45" t="s">
        <v>119</v>
      </c>
      <c r="D203" s="45" t="s">
        <v>123</v>
      </c>
      <c r="E203" s="45" t="s">
        <v>118</v>
      </c>
      <c r="F203" s="45" t="s">
        <v>117</v>
      </c>
      <c r="G203" s="46">
        <v>19.95</v>
      </c>
      <c r="H203" s="45">
        <v>2</v>
      </c>
      <c r="I203" s="46">
        <v>39.9</v>
      </c>
    </row>
    <row r="204" spans="1:9" x14ac:dyDescent="0.3">
      <c r="A204" s="44">
        <v>41259</v>
      </c>
      <c r="B204" s="45">
        <v>26</v>
      </c>
      <c r="C204" s="45" t="s">
        <v>109</v>
      </c>
      <c r="D204" s="45" t="s">
        <v>124</v>
      </c>
      <c r="E204" s="45" t="s">
        <v>120</v>
      </c>
      <c r="F204" s="45" t="s">
        <v>117</v>
      </c>
      <c r="G204" s="46">
        <v>21.95</v>
      </c>
      <c r="H204" s="45">
        <v>6</v>
      </c>
      <c r="I204" s="46">
        <v>131.69999999999999</v>
      </c>
    </row>
  </sheetData>
  <hyperlinks>
    <hyperlink ref="A1" location="Topics!B11" display="Home" xr:uid="{00000000-0004-0000-0A00-000000000000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0000FF"/>
  </sheetPr>
  <dimension ref="A1:C13"/>
  <sheetViews>
    <sheetView zoomScale="145" zoomScaleNormal="145" workbookViewId="0">
      <selection activeCell="F13" sqref="F13"/>
    </sheetView>
  </sheetViews>
  <sheetFormatPr defaultRowHeight="14.4" x14ac:dyDescent="0.3"/>
  <cols>
    <col min="1" max="1" width="23.44140625" customWidth="1"/>
    <col min="2" max="4" width="14.33203125" customWidth="1"/>
  </cols>
  <sheetData>
    <row r="1" spans="1:3" x14ac:dyDescent="0.3">
      <c r="A1" s="13" t="s">
        <v>35</v>
      </c>
    </row>
    <row r="2" spans="1:3" ht="18" x14ac:dyDescent="0.35">
      <c r="A2" s="27" t="str">
        <f ca="1">"Topic: "&amp;INDEX(Topics!$A$12:$A$42,MATCH(REPLACE(CELL("filename",A1),1,SEARCH("]",CELL("filename",A1)),""),Topics!$C$12:$C$42,0))</f>
        <v>Topic: Filter by Partial Text</v>
      </c>
    </row>
    <row r="4" spans="1:3" x14ac:dyDescent="0.3">
      <c r="A4" s="21" t="s">
        <v>143</v>
      </c>
      <c r="B4" s="21" t="s">
        <v>135</v>
      </c>
      <c r="C4" s="21" t="s">
        <v>59</v>
      </c>
    </row>
    <row r="5" spans="1:3" x14ac:dyDescent="0.3">
      <c r="A5" s="16" t="s">
        <v>136</v>
      </c>
      <c r="B5" s="16" t="s">
        <v>145</v>
      </c>
      <c r="C5" s="16" t="s">
        <v>149</v>
      </c>
    </row>
    <row r="6" spans="1:3" x14ac:dyDescent="0.3">
      <c r="A6" s="16" t="s">
        <v>137</v>
      </c>
      <c r="B6" s="16" t="s">
        <v>42</v>
      </c>
      <c r="C6" s="16" t="s">
        <v>150</v>
      </c>
    </row>
    <row r="7" spans="1:3" x14ac:dyDescent="0.3">
      <c r="A7" s="16" t="s">
        <v>305</v>
      </c>
      <c r="B7" s="16" t="s">
        <v>41</v>
      </c>
      <c r="C7" s="16" t="s">
        <v>151</v>
      </c>
    </row>
    <row r="8" spans="1:3" x14ac:dyDescent="0.3">
      <c r="A8" s="16" t="s">
        <v>140</v>
      </c>
      <c r="B8" s="16" t="s">
        <v>77</v>
      </c>
      <c r="C8" s="16" t="s">
        <v>152</v>
      </c>
    </row>
    <row r="9" spans="1:3" x14ac:dyDescent="0.3">
      <c r="A9" s="16" t="s">
        <v>144</v>
      </c>
      <c r="B9" s="16" t="s">
        <v>40</v>
      </c>
      <c r="C9" s="16" t="s">
        <v>153</v>
      </c>
    </row>
    <row r="10" spans="1:3" x14ac:dyDescent="0.3">
      <c r="A10" s="16" t="s">
        <v>138</v>
      </c>
      <c r="B10" s="16" t="s">
        <v>146</v>
      </c>
      <c r="C10" s="16" t="s">
        <v>154</v>
      </c>
    </row>
    <row r="11" spans="1:3" x14ac:dyDescent="0.3">
      <c r="A11" s="16" t="s">
        <v>139</v>
      </c>
      <c r="B11" s="16" t="s">
        <v>76</v>
      </c>
      <c r="C11" s="16" t="s">
        <v>155</v>
      </c>
    </row>
    <row r="12" spans="1:3" x14ac:dyDescent="0.3">
      <c r="A12" s="16" t="s">
        <v>142</v>
      </c>
      <c r="B12" s="16" t="s">
        <v>147</v>
      </c>
      <c r="C12" s="16" t="s">
        <v>156</v>
      </c>
    </row>
    <row r="13" spans="1:3" x14ac:dyDescent="0.3">
      <c r="A13" s="16" t="s">
        <v>141</v>
      </c>
      <c r="B13" s="16" t="s">
        <v>148</v>
      </c>
      <c r="C13" s="16" t="s">
        <v>157</v>
      </c>
    </row>
  </sheetData>
  <hyperlinks>
    <hyperlink ref="A1" location="Topics!B11" display="Home" xr:uid="{00000000-0004-0000-0B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8CF2-81AC-4B51-B5DC-A10B5DDDFF7C}">
  <sheetPr codeName="Sheet12">
    <tabColor rgb="FF0000FF"/>
  </sheetPr>
  <dimension ref="C1:L30"/>
  <sheetViews>
    <sheetView workbookViewId="0">
      <selection activeCell="E6" sqref="E6"/>
    </sheetView>
  </sheetViews>
  <sheetFormatPr defaultRowHeight="14.4" x14ac:dyDescent="0.3"/>
  <cols>
    <col min="3" max="6" width="22.44140625" customWidth="1"/>
    <col min="9" max="9" width="18.6640625" customWidth="1"/>
    <col min="10" max="11" width="10" bestFit="1" customWidth="1"/>
    <col min="12" max="12" width="5.88671875" bestFit="1" customWidth="1"/>
  </cols>
  <sheetData>
    <row r="1" spans="3:12" x14ac:dyDescent="0.3">
      <c r="I1" s="21" t="s">
        <v>73</v>
      </c>
    </row>
    <row r="2" spans="3:12" x14ac:dyDescent="0.3">
      <c r="I2" s="16" t="s">
        <v>81</v>
      </c>
    </row>
    <row r="3" spans="3:12" x14ac:dyDescent="0.3">
      <c r="C3" s="21" t="s">
        <v>71</v>
      </c>
      <c r="D3" s="21" t="s">
        <v>72</v>
      </c>
      <c r="E3" s="21" t="s">
        <v>73</v>
      </c>
      <c r="F3" s="21" t="s">
        <v>74</v>
      </c>
    </row>
    <row r="4" spans="3:12" x14ac:dyDescent="0.3">
      <c r="C4" s="16" t="s">
        <v>83</v>
      </c>
      <c r="D4" s="16" t="s">
        <v>78</v>
      </c>
      <c r="E4" s="16" t="s">
        <v>80</v>
      </c>
      <c r="F4" s="16">
        <v>3.8</v>
      </c>
    </row>
    <row r="5" spans="3:12" x14ac:dyDescent="0.3">
      <c r="C5" s="16" t="s">
        <v>84</v>
      </c>
      <c r="D5" s="16" t="s">
        <v>79</v>
      </c>
      <c r="E5" s="16" t="s">
        <v>81</v>
      </c>
      <c r="F5" s="16">
        <v>2.7</v>
      </c>
    </row>
    <row r="6" spans="3:12" x14ac:dyDescent="0.3">
      <c r="C6" s="16" t="s">
        <v>85</v>
      </c>
      <c r="D6" s="16" t="s">
        <v>78</v>
      </c>
      <c r="E6" s="16" t="s">
        <v>80</v>
      </c>
      <c r="F6" s="16">
        <v>2.5</v>
      </c>
    </row>
    <row r="7" spans="3:12" x14ac:dyDescent="0.3">
      <c r="C7" s="16" t="s">
        <v>86</v>
      </c>
      <c r="D7" s="16" t="s">
        <v>79</v>
      </c>
      <c r="E7" s="16" t="s">
        <v>81</v>
      </c>
      <c r="F7" s="16">
        <v>3</v>
      </c>
    </row>
    <row r="8" spans="3:12" x14ac:dyDescent="0.3">
      <c r="C8" s="16" t="s">
        <v>87</v>
      </c>
      <c r="D8" s="16" t="s">
        <v>78</v>
      </c>
      <c r="E8" s="16" t="s">
        <v>80</v>
      </c>
      <c r="F8" s="16">
        <v>3.9</v>
      </c>
    </row>
    <row r="9" spans="3:12" x14ac:dyDescent="0.3">
      <c r="C9" s="16" t="s">
        <v>88</v>
      </c>
      <c r="D9" s="16" t="s">
        <v>78</v>
      </c>
      <c r="E9" s="16" t="s">
        <v>81</v>
      </c>
      <c r="F9" s="16">
        <v>4</v>
      </c>
    </row>
    <row r="10" spans="3:12" x14ac:dyDescent="0.3">
      <c r="C10" s="16" t="s">
        <v>89</v>
      </c>
      <c r="D10" s="16" t="s">
        <v>79</v>
      </c>
      <c r="E10" s="16" t="s">
        <v>80</v>
      </c>
      <c r="F10" s="16">
        <v>3.4</v>
      </c>
    </row>
    <row r="11" spans="3:12" x14ac:dyDescent="0.3">
      <c r="C11" s="16" t="s">
        <v>90</v>
      </c>
      <c r="D11" s="16" t="s">
        <v>79</v>
      </c>
      <c r="E11" s="16" t="s">
        <v>81</v>
      </c>
      <c r="F11" s="16">
        <v>2.5</v>
      </c>
    </row>
    <row r="12" spans="3:12" x14ac:dyDescent="0.3">
      <c r="C12" s="16" t="s">
        <v>91</v>
      </c>
      <c r="D12" s="16" t="s">
        <v>78</v>
      </c>
      <c r="E12" s="16" t="s">
        <v>81</v>
      </c>
      <c r="F12" s="16">
        <v>2.4</v>
      </c>
    </row>
    <row r="13" spans="3:12" x14ac:dyDescent="0.3">
      <c r="C13" s="16" t="s">
        <v>92</v>
      </c>
      <c r="D13" s="16" t="s">
        <v>79</v>
      </c>
      <c r="E13" s="16" t="s">
        <v>81</v>
      </c>
      <c r="F13" s="16">
        <v>1.6</v>
      </c>
    </row>
    <row r="15" spans="3:12" x14ac:dyDescent="0.3">
      <c r="I15" s="21" t="s">
        <v>71</v>
      </c>
      <c r="J15" s="21" t="s">
        <v>72</v>
      </c>
      <c r="K15" s="21" t="s">
        <v>73</v>
      </c>
      <c r="L15" s="21" t="s">
        <v>74</v>
      </c>
    </row>
    <row r="16" spans="3:12" x14ac:dyDescent="0.3">
      <c r="I16" s="16" t="s">
        <v>84</v>
      </c>
      <c r="J16" s="16" t="s">
        <v>79</v>
      </c>
      <c r="K16" s="16" t="s">
        <v>81</v>
      </c>
      <c r="L16" s="16">
        <v>2.7</v>
      </c>
    </row>
    <row r="17" spans="9:12" x14ac:dyDescent="0.3">
      <c r="I17" s="16" t="s">
        <v>86</v>
      </c>
      <c r="J17" s="16" t="s">
        <v>79</v>
      </c>
      <c r="K17" s="16" t="s">
        <v>81</v>
      </c>
      <c r="L17" s="16">
        <v>3</v>
      </c>
    </row>
    <row r="18" spans="9:12" x14ac:dyDescent="0.3">
      <c r="I18" s="16" t="s">
        <v>88</v>
      </c>
      <c r="J18" s="16" t="s">
        <v>78</v>
      </c>
      <c r="K18" s="16" t="s">
        <v>81</v>
      </c>
      <c r="L18" s="16">
        <v>4</v>
      </c>
    </row>
    <row r="19" spans="9:12" x14ac:dyDescent="0.3">
      <c r="I19" s="16" t="s">
        <v>90</v>
      </c>
      <c r="J19" s="16" t="s">
        <v>79</v>
      </c>
      <c r="K19" s="16" t="s">
        <v>81</v>
      </c>
      <c r="L19" s="16">
        <v>2.5</v>
      </c>
    </row>
    <row r="20" spans="9:12" x14ac:dyDescent="0.3">
      <c r="I20" s="16" t="s">
        <v>91</v>
      </c>
      <c r="J20" s="16" t="s">
        <v>78</v>
      </c>
      <c r="K20" s="16" t="s">
        <v>81</v>
      </c>
      <c r="L20" s="16">
        <v>2.4</v>
      </c>
    </row>
    <row r="21" spans="9:12" x14ac:dyDescent="0.3">
      <c r="I21" s="16" t="s">
        <v>92</v>
      </c>
      <c r="J21" s="16" t="s">
        <v>79</v>
      </c>
      <c r="K21" s="16" t="s">
        <v>81</v>
      </c>
      <c r="L21" s="16">
        <v>1.6</v>
      </c>
    </row>
    <row r="24" spans="9:12" x14ac:dyDescent="0.3">
      <c r="I24" s="21" t="s">
        <v>71</v>
      </c>
      <c r="J24" s="21" t="s">
        <v>72</v>
      </c>
      <c r="K24" s="21" t="s">
        <v>73</v>
      </c>
      <c r="L24" s="21" t="s">
        <v>74</v>
      </c>
    </row>
    <row r="25" spans="9:12" x14ac:dyDescent="0.3">
      <c r="I25" s="16" t="s">
        <v>84</v>
      </c>
      <c r="J25" s="16" t="s">
        <v>79</v>
      </c>
      <c r="K25" s="16" t="s">
        <v>81</v>
      </c>
      <c r="L25" s="16">
        <v>2.7</v>
      </c>
    </row>
    <row r="26" spans="9:12" x14ac:dyDescent="0.3">
      <c r="I26" s="16" t="s">
        <v>86</v>
      </c>
      <c r="J26" s="16" t="s">
        <v>79</v>
      </c>
      <c r="K26" s="16" t="s">
        <v>81</v>
      </c>
      <c r="L26" s="16">
        <v>3</v>
      </c>
    </row>
    <row r="27" spans="9:12" x14ac:dyDescent="0.3">
      <c r="I27" s="16" t="s">
        <v>88</v>
      </c>
      <c r="J27" s="16" t="s">
        <v>78</v>
      </c>
      <c r="K27" s="16" t="s">
        <v>81</v>
      </c>
      <c r="L27" s="16">
        <v>4</v>
      </c>
    </row>
    <row r="28" spans="9:12" x14ac:dyDescent="0.3">
      <c r="I28" s="16" t="s">
        <v>90</v>
      </c>
      <c r="J28" s="16" t="s">
        <v>79</v>
      </c>
      <c r="K28" s="16" t="s">
        <v>81</v>
      </c>
      <c r="L28" s="16">
        <v>2.5</v>
      </c>
    </row>
    <row r="29" spans="9:12" x14ac:dyDescent="0.3">
      <c r="I29" s="16" t="s">
        <v>91</v>
      </c>
      <c r="J29" s="16" t="s">
        <v>78</v>
      </c>
      <c r="K29" s="16" t="s">
        <v>81</v>
      </c>
      <c r="L29" s="16">
        <v>2.4</v>
      </c>
    </row>
    <row r="30" spans="9:12" x14ac:dyDescent="0.3">
      <c r="I30" s="16" t="s">
        <v>92</v>
      </c>
      <c r="J30" s="16" t="s">
        <v>79</v>
      </c>
      <c r="K30" s="16" t="s">
        <v>81</v>
      </c>
      <c r="L30" s="16">
        <v>1.6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F833B-5209-47E6-82DA-80CAE01B232F}">
  <sheetPr codeName="Sheet13">
    <tabColor rgb="FF0000FF"/>
  </sheetPr>
  <dimension ref="C2:M24"/>
  <sheetViews>
    <sheetView workbookViewId="0">
      <selection activeCell="E8" sqref="E8"/>
    </sheetView>
  </sheetViews>
  <sheetFormatPr defaultRowHeight="14.4" x14ac:dyDescent="0.3"/>
  <cols>
    <col min="3" max="6" width="19.6640625" customWidth="1"/>
    <col min="9" max="9" width="10" bestFit="1" customWidth="1"/>
    <col min="10" max="10" width="17" bestFit="1" customWidth="1"/>
    <col min="11" max="12" width="10" bestFit="1" customWidth="1"/>
  </cols>
  <sheetData>
    <row r="2" spans="3:13" x14ac:dyDescent="0.3">
      <c r="I2" s="21" t="s">
        <v>72</v>
      </c>
      <c r="J2" s="21" t="s">
        <v>74</v>
      </c>
    </row>
    <row r="3" spans="3:13" x14ac:dyDescent="0.3">
      <c r="I3" s="16" t="s">
        <v>78</v>
      </c>
      <c r="J3" s="16" t="s">
        <v>343</v>
      </c>
    </row>
    <row r="4" spans="3:13" x14ac:dyDescent="0.3">
      <c r="C4" s="21" t="s">
        <v>71</v>
      </c>
      <c r="D4" s="21" t="s">
        <v>72</v>
      </c>
      <c r="E4" s="21" t="s">
        <v>73</v>
      </c>
      <c r="F4" s="21" t="s">
        <v>74</v>
      </c>
    </row>
    <row r="5" spans="3:13" x14ac:dyDescent="0.3">
      <c r="C5" s="16" t="s">
        <v>83</v>
      </c>
      <c r="D5" s="16" t="s">
        <v>78</v>
      </c>
      <c r="E5" s="16" t="s">
        <v>80</v>
      </c>
      <c r="F5" s="16">
        <v>3.8</v>
      </c>
    </row>
    <row r="6" spans="3:13" x14ac:dyDescent="0.3">
      <c r="C6" s="16" t="s">
        <v>84</v>
      </c>
      <c r="D6" s="16" t="s">
        <v>79</v>
      </c>
      <c r="E6" s="16" t="s">
        <v>81</v>
      </c>
      <c r="F6" s="16">
        <v>2.7</v>
      </c>
    </row>
    <row r="7" spans="3:13" x14ac:dyDescent="0.3">
      <c r="C7" s="16" t="s">
        <v>85</v>
      </c>
      <c r="D7" s="16" t="s">
        <v>78</v>
      </c>
      <c r="E7" s="16" t="s">
        <v>80</v>
      </c>
      <c r="F7" s="16">
        <v>2.5</v>
      </c>
    </row>
    <row r="8" spans="3:13" x14ac:dyDescent="0.3">
      <c r="C8" s="16" t="s">
        <v>86</v>
      </c>
      <c r="D8" s="16" t="s">
        <v>79</v>
      </c>
      <c r="E8" s="16" t="s">
        <v>81</v>
      </c>
      <c r="F8" s="16">
        <v>3</v>
      </c>
    </row>
    <row r="9" spans="3:13" x14ac:dyDescent="0.3">
      <c r="C9" s="16" t="s">
        <v>87</v>
      </c>
      <c r="D9" s="16" t="s">
        <v>78</v>
      </c>
      <c r="E9" s="16" t="s">
        <v>80</v>
      </c>
      <c r="F9" s="16">
        <v>3.9</v>
      </c>
    </row>
    <row r="10" spans="3:13" x14ac:dyDescent="0.3">
      <c r="C10" s="16" t="s">
        <v>88</v>
      </c>
      <c r="D10" s="16" t="s">
        <v>78</v>
      </c>
      <c r="E10" s="16" t="s">
        <v>81</v>
      </c>
      <c r="F10" s="16">
        <v>4</v>
      </c>
    </row>
    <row r="11" spans="3:13" x14ac:dyDescent="0.3">
      <c r="C11" s="16" t="s">
        <v>89</v>
      </c>
      <c r="D11" s="16" t="s">
        <v>79</v>
      </c>
      <c r="E11" s="16" t="s">
        <v>80</v>
      </c>
      <c r="F11" s="16">
        <v>3.4</v>
      </c>
    </row>
    <row r="12" spans="3:13" x14ac:dyDescent="0.3">
      <c r="C12" s="16" t="s">
        <v>90</v>
      </c>
      <c r="D12" s="16" t="s">
        <v>79</v>
      </c>
      <c r="E12" s="16" t="s">
        <v>81</v>
      </c>
      <c r="F12" s="16">
        <v>2.5</v>
      </c>
    </row>
    <row r="13" spans="3:13" x14ac:dyDescent="0.3">
      <c r="C13" s="16" t="s">
        <v>91</v>
      </c>
      <c r="D13" s="16" t="s">
        <v>78</v>
      </c>
      <c r="E13" s="16" t="s">
        <v>81</v>
      </c>
      <c r="F13" s="16">
        <v>2.4</v>
      </c>
      <c r="J13" s="21" t="s">
        <v>71</v>
      </c>
      <c r="K13" s="21" t="s">
        <v>72</v>
      </c>
      <c r="L13" s="21" t="s">
        <v>73</v>
      </c>
      <c r="M13" s="21" t="s">
        <v>74</v>
      </c>
    </row>
    <row r="14" spans="3:13" x14ac:dyDescent="0.3">
      <c r="C14" s="16" t="s">
        <v>92</v>
      </c>
      <c r="D14" s="16" t="s">
        <v>79</v>
      </c>
      <c r="E14" s="16" t="s">
        <v>81</v>
      </c>
      <c r="F14" s="16">
        <v>1.6</v>
      </c>
      <c r="J14" s="16" t="s">
        <v>83</v>
      </c>
      <c r="K14" s="16" t="s">
        <v>78</v>
      </c>
      <c r="L14" s="16" t="s">
        <v>80</v>
      </c>
      <c r="M14" s="16">
        <v>3.8</v>
      </c>
    </row>
    <row r="15" spans="3:13" x14ac:dyDescent="0.3">
      <c r="J15" s="16" t="s">
        <v>87</v>
      </c>
      <c r="K15" s="16" t="s">
        <v>78</v>
      </c>
      <c r="L15" s="16" t="s">
        <v>80</v>
      </c>
      <c r="M15" s="16">
        <v>3.9</v>
      </c>
    </row>
    <row r="16" spans="3:13" x14ac:dyDescent="0.3">
      <c r="J16" s="16" t="s">
        <v>88</v>
      </c>
      <c r="K16" s="16" t="s">
        <v>78</v>
      </c>
      <c r="L16" s="16" t="s">
        <v>81</v>
      </c>
      <c r="M16" s="16">
        <v>4</v>
      </c>
    </row>
    <row r="21" spans="10:13" x14ac:dyDescent="0.3">
      <c r="J21" s="21" t="s">
        <v>71</v>
      </c>
      <c r="K21" s="21" t="s">
        <v>72</v>
      </c>
      <c r="L21" s="21" t="s">
        <v>73</v>
      </c>
      <c r="M21" s="21" t="s">
        <v>74</v>
      </c>
    </row>
    <row r="22" spans="10:13" x14ac:dyDescent="0.3">
      <c r="J22" s="16" t="s">
        <v>83</v>
      </c>
      <c r="K22" s="16" t="s">
        <v>78</v>
      </c>
      <c r="L22" s="16" t="s">
        <v>80</v>
      </c>
      <c r="M22" s="16">
        <v>3.8</v>
      </c>
    </row>
    <row r="23" spans="10:13" x14ac:dyDescent="0.3">
      <c r="J23" s="16" t="s">
        <v>87</v>
      </c>
      <c r="K23" s="16" t="s">
        <v>78</v>
      </c>
      <c r="L23" s="16" t="s">
        <v>80</v>
      </c>
      <c r="M23" s="16">
        <v>3.9</v>
      </c>
    </row>
    <row r="24" spans="10:13" x14ac:dyDescent="0.3">
      <c r="J24" s="16" t="s">
        <v>88</v>
      </c>
      <c r="K24" s="16" t="s">
        <v>78</v>
      </c>
      <c r="L24" s="16" t="s">
        <v>81</v>
      </c>
      <c r="M24" s="16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1311-62ED-4624-811D-C5FDC81437C0}">
  <sheetPr codeName="Sheet14">
    <tabColor rgb="FF0000FF"/>
  </sheetPr>
  <dimension ref="C1:S25"/>
  <sheetViews>
    <sheetView workbookViewId="0">
      <selection activeCell="G10" sqref="G10"/>
    </sheetView>
  </sheetViews>
  <sheetFormatPr defaultRowHeight="14.4" x14ac:dyDescent="0.3"/>
  <cols>
    <col min="3" max="9" width="12.109375" customWidth="1"/>
    <col min="13" max="13" width="16" customWidth="1"/>
  </cols>
  <sheetData>
    <row r="1" spans="3:19" x14ac:dyDescent="0.3">
      <c r="M1" s="21" t="s">
        <v>133</v>
      </c>
    </row>
    <row r="2" spans="3:19" x14ac:dyDescent="0.3">
      <c r="M2" s="44" t="s">
        <v>344</v>
      </c>
    </row>
    <row r="3" spans="3:19" x14ac:dyDescent="0.3">
      <c r="C3" s="21" t="s">
        <v>133</v>
      </c>
      <c r="D3" s="21" t="s">
        <v>131</v>
      </c>
      <c r="E3" s="21" t="s">
        <v>109</v>
      </c>
      <c r="F3" s="21" t="s">
        <v>110</v>
      </c>
      <c r="G3" s="21" t="s">
        <v>132</v>
      </c>
      <c r="H3" s="21" t="s">
        <v>111</v>
      </c>
      <c r="I3" s="21" t="s">
        <v>112</v>
      </c>
    </row>
    <row r="4" spans="3:19" x14ac:dyDescent="0.3">
      <c r="C4" s="44">
        <v>41051</v>
      </c>
      <c r="D4" s="45">
        <v>21</v>
      </c>
      <c r="E4" s="45" t="s">
        <v>109</v>
      </c>
      <c r="F4" s="45" t="s">
        <v>115</v>
      </c>
      <c r="G4" s="45" t="s">
        <v>116</v>
      </c>
      <c r="H4" s="45" t="s">
        <v>117</v>
      </c>
      <c r="I4" s="46">
        <v>22.95</v>
      </c>
    </row>
    <row r="5" spans="3:19" x14ac:dyDescent="0.3">
      <c r="C5" s="44">
        <v>41089</v>
      </c>
      <c r="D5" s="45">
        <v>57</v>
      </c>
      <c r="E5" s="45" t="s">
        <v>109</v>
      </c>
      <c r="F5" s="45" t="s">
        <v>115</v>
      </c>
      <c r="G5" s="45" t="s">
        <v>118</v>
      </c>
      <c r="H5" s="45" t="s">
        <v>117</v>
      </c>
      <c r="I5" s="46">
        <v>19.95</v>
      </c>
    </row>
    <row r="6" spans="3:19" x14ac:dyDescent="0.3">
      <c r="C6" s="44">
        <v>41218</v>
      </c>
      <c r="D6" s="45">
        <v>25</v>
      </c>
      <c r="E6" s="45" t="s">
        <v>119</v>
      </c>
      <c r="F6" s="45" t="s">
        <v>115</v>
      </c>
      <c r="G6" s="45" t="s">
        <v>120</v>
      </c>
      <c r="H6" s="45" t="s">
        <v>121</v>
      </c>
      <c r="I6" s="46">
        <v>21.95</v>
      </c>
    </row>
    <row r="7" spans="3:19" x14ac:dyDescent="0.3">
      <c r="C7" s="44">
        <v>41152</v>
      </c>
      <c r="D7" s="45">
        <v>38</v>
      </c>
      <c r="E7" s="45" t="s">
        <v>119</v>
      </c>
      <c r="F7" s="45" t="s">
        <v>122</v>
      </c>
      <c r="G7" s="45" t="s">
        <v>118</v>
      </c>
      <c r="H7" s="45" t="s">
        <v>117</v>
      </c>
      <c r="I7" s="46">
        <v>19.95</v>
      </c>
    </row>
    <row r="8" spans="3:19" x14ac:dyDescent="0.3">
      <c r="C8" s="44">
        <v>41059</v>
      </c>
      <c r="D8" s="45">
        <v>22</v>
      </c>
      <c r="E8" s="45" t="s">
        <v>109</v>
      </c>
      <c r="F8" s="45" t="s">
        <v>123</v>
      </c>
      <c r="G8" s="45" t="s">
        <v>118</v>
      </c>
      <c r="H8" s="45" t="s">
        <v>117</v>
      </c>
      <c r="I8" s="46">
        <v>19.95</v>
      </c>
    </row>
    <row r="9" spans="3:19" x14ac:dyDescent="0.3">
      <c r="C9" s="44">
        <v>41187</v>
      </c>
      <c r="D9" s="45">
        <v>29</v>
      </c>
      <c r="E9" s="45" t="s">
        <v>109</v>
      </c>
      <c r="F9" s="45" t="s">
        <v>124</v>
      </c>
      <c r="G9" s="45" t="s">
        <v>118</v>
      </c>
      <c r="H9" s="45" t="s">
        <v>125</v>
      </c>
      <c r="I9" s="46">
        <v>19.95</v>
      </c>
    </row>
    <row r="10" spans="3:19" x14ac:dyDescent="0.3">
      <c r="C10" s="44">
        <v>40990</v>
      </c>
      <c r="D10" s="45">
        <v>18</v>
      </c>
      <c r="E10" s="45" t="s">
        <v>109</v>
      </c>
      <c r="F10" s="45" t="s">
        <v>123</v>
      </c>
      <c r="G10" s="45" t="s">
        <v>118</v>
      </c>
      <c r="H10" s="45" t="s">
        <v>117</v>
      </c>
      <c r="I10" s="46">
        <v>19.95</v>
      </c>
    </row>
    <row r="11" spans="3:19" x14ac:dyDescent="0.3">
      <c r="C11" s="44">
        <v>41074</v>
      </c>
      <c r="D11" s="45">
        <v>64</v>
      </c>
      <c r="E11" s="45" t="s">
        <v>119</v>
      </c>
      <c r="F11" s="45" t="s">
        <v>126</v>
      </c>
      <c r="G11" s="45" t="s">
        <v>118</v>
      </c>
      <c r="H11" s="45" t="s">
        <v>117</v>
      </c>
      <c r="I11" s="46">
        <v>19.95</v>
      </c>
    </row>
    <row r="12" spans="3:19" x14ac:dyDescent="0.3">
      <c r="C12" s="44">
        <v>41038</v>
      </c>
      <c r="D12" s="45">
        <v>27</v>
      </c>
      <c r="E12" s="45" t="s">
        <v>119</v>
      </c>
      <c r="F12" s="45" t="s">
        <v>122</v>
      </c>
      <c r="G12" s="45" t="s">
        <v>118</v>
      </c>
      <c r="H12" s="45" t="s">
        <v>117</v>
      </c>
      <c r="I12" s="46">
        <v>19.95</v>
      </c>
    </row>
    <row r="13" spans="3:19" x14ac:dyDescent="0.3">
      <c r="C13" s="44">
        <v>41149</v>
      </c>
      <c r="D13" s="45">
        <v>22</v>
      </c>
      <c r="E13" s="45" t="s">
        <v>119</v>
      </c>
      <c r="F13" s="45" t="s">
        <v>123</v>
      </c>
      <c r="G13" s="45" t="s">
        <v>120</v>
      </c>
      <c r="H13" s="45" t="s">
        <v>117</v>
      </c>
      <c r="I13" s="46">
        <v>21.95</v>
      </c>
      <c r="M13" s="21" t="s">
        <v>133</v>
      </c>
      <c r="N13" s="21" t="s">
        <v>131</v>
      </c>
      <c r="O13" s="21" t="s">
        <v>109</v>
      </c>
      <c r="P13" s="21" t="s">
        <v>110</v>
      </c>
      <c r="Q13" s="21" t="s">
        <v>132</v>
      </c>
      <c r="R13" s="21" t="s">
        <v>111</v>
      </c>
      <c r="S13" s="21" t="s">
        <v>112</v>
      </c>
    </row>
    <row r="14" spans="3:19" x14ac:dyDescent="0.3">
      <c r="C14" s="44">
        <v>41243</v>
      </c>
      <c r="D14" s="45">
        <v>39</v>
      </c>
      <c r="E14" s="45" t="s">
        <v>109</v>
      </c>
      <c r="F14" s="45" t="s">
        <v>124</v>
      </c>
      <c r="G14" s="45" t="s">
        <v>120</v>
      </c>
      <c r="H14" s="45" t="s">
        <v>127</v>
      </c>
      <c r="I14" s="46">
        <v>21.95</v>
      </c>
      <c r="M14" s="44">
        <v>41089</v>
      </c>
      <c r="N14" s="45">
        <v>57</v>
      </c>
      <c r="O14" s="45" t="s">
        <v>109</v>
      </c>
      <c r="P14" s="45" t="s">
        <v>115</v>
      </c>
      <c r="Q14" s="45" t="s">
        <v>118</v>
      </c>
      <c r="R14" s="45" t="s">
        <v>117</v>
      </c>
      <c r="S14" s="46">
        <v>19.95</v>
      </c>
    </row>
    <row r="15" spans="3:19" x14ac:dyDescent="0.3">
      <c r="C15" s="44">
        <v>41165</v>
      </c>
      <c r="D15" s="45">
        <v>61</v>
      </c>
      <c r="E15" s="45" t="s">
        <v>119</v>
      </c>
      <c r="F15" s="45" t="s">
        <v>115</v>
      </c>
      <c r="G15" s="45" t="s">
        <v>118</v>
      </c>
      <c r="H15" s="45" t="s">
        <v>127</v>
      </c>
      <c r="I15" s="46">
        <v>19.95</v>
      </c>
      <c r="M15" s="44">
        <v>41218</v>
      </c>
      <c r="N15" s="45">
        <v>25</v>
      </c>
      <c r="O15" s="45" t="s">
        <v>119</v>
      </c>
      <c r="P15" s="45" t="s">
        <v>115</v>
      </c>
      <c r="Q15" s="45" t="s">
        <v>120</v>
      </c>
      <c r="R15" s="45" t="s">
        <v>121</v>
      </c>
      <c r="S15" s="46">
        <v>21.95</v>
      </c>
    </row>
    <row r="16" spans="3:19" x14ac:dyDescent="0.3">
      <c r="C16" s="44">
        <v>41205</v>
      </c>
      <c r="D16" s="45">
        <v>18</v>
      </c>
      <c r="E16" s="45" t="s">
        <v>119</v>
      </c>
      <c r="F16" s="45" t="s">
        <v>123</v>
      </c>
      <c r="G16" s="45" t="s">
        <v>116</v>
      </c>
      <c r="H16" s="45" t="s">
        <v>127</v>
      </c>
      <c r="I16" s="46">
        <v>22.95</v>
      </c>
      <c r="M16" s="44">
        <v>41152</v>
      </c>
      <c r="N16" s="45">
        <v>38</v>
      </c>
      <c r="O16" s="45" t="s">
        <v>119</v>
      </c>
      <c r="P16" s="45" t="s">
        <v>122</v>
      </c>
      <c r="Q16" s="45" t="s">
        <v>118</v>
      </c>
      <c r="R16" s="45" t="s">
        <v>117</v>
      </c>
      <c r="S16" s="46">
        <v>19.95</v>
      </c>
    </row>
    <row r="17" spans="3:19" x14ac:dyDescent="0.3">
      <c r="C17" s="44">
        <v>41171</v>
      </c>
      <c r="D17" s="45">
        <v>22</v>
      </c>
      <c r="E17" s="45" t="s">
        <v>119</v>
      </c>
      <c r="F17" s="45" t="s">
        <v>124</v>
      </c>
      <c r="G17" s="45" t="s">
        <v>116</v>
      </c>
      <c r="H17" s="45" t="s">
        <v>117</v>
      </c>
      <c r="I17" s="46">
        <v>22.95</v>
      </c>
      <c r="M17" s="44">
        <v>41059</v>
      </c>
      <c r="N17" s="45">
        <v>22</v>
      </c>
      <c r="O17" s="45" t="s">
        <v>109</v>
      </c>
      <c r="P17" s="45" t="s">
        <v>123</v>
      </c>
      <c r="Q17" s="45" t="s">
        <v>118</v>
      </c>
      <c r="R17" s="45" t="s">
        <v>117</v>
      </c>
      <c r="S17" s="46">
        <v>19.95</v>
      </c>
    </row>
    <row r="18" spans="3:19" x14ac:dyDescent="0.3">
      <c r="C18" s="44">
        <v>41172</v>
      </c>
      <c r="D18" s="45">
        <v>52</v>
      </c>
      <c r="E18" s="45" t="s">
        <v>119</v>
      </c>
      <c r="F18" s="45" t="s">
        <v>122</v>
      </c>
      <c r="G18" s="45" t="s">
        <v>116</v>
      </c>
      <c r="H18" s="45" t="s">
        <v>127</v>
      </c>
      <c r="I18" s="46">
        <v>22.95</v>
      </c>
      <c r="M18" s="44">
        <v>41187</v>
      </c>
      <c r="N18" s="45">
        <v>29</v>
      </c>
      <c r="O18" s="45" t="s">
        <v>109</v>
      </c>
      <c r="P18" s="45" t="s">
        <v>124</v>
      </c>
      <c r="Q18" s="45" t="s">
        <v>118</v>
      </c>
      <c r="R18" s="45" t="s">
        <v>125</v>
      </c>
      <c r="S18" s="46">
        <v>19.95</v>
      </c>
    </row>
    <row r="19" spans="3:19" x14ac:dyDescent="0.3">
      <c r="M19" s="44">
        <v>41074</v>
      </c>
      <c r="N19" s="45">
        <v>64</v>
      </c>
      <c r="O19" s="45" t="s">
        <v>119</v>
      </c>
      <c r="P19" s="45" t="s">
        <v>126</v>
      </c>
      <c r="Q19" s="45" t="s">
        <v>118</v>
      </c>
      <c r="R19" s="45" t="s">
        <v>117</v>
      </c>
      <c r="S19" s="46">
        <v>19.95</v>
      </c>
    </row>
    <row r="20" spans="3:19" x14ac:dyDescent="0.3">
      <c r="M20" s="44">
        <v>41149</v>
      </c>
      <c r="N20" s="45">
        <v>22</v>
      </c>
      <c r="O20" s="45" t="s">
        <v>119</v>
      </c>
      <c r="P20" s="45" t="s">
        <v>123</v>
      </c>
      <c r="Q20" s="45" t="s">
        <v>120</v>
      </c>
      <c r="R20" s="45" t="s">
        <v>117</v>
      </c>
      <c r="S20" s="46">
        <v>21.95</v>
      </c>
    </row>
    <row r="21" spans="3:19" x14ac:dyDescent="0.3">
      <c r="M21" s="44">
        <v>41243</v>
      </c>
      <c r="N21" s="45">
        <v>39</v>
      </c>
      <c r="O21" s="45" t="s">
        <v>109</v>
      </c>
      <c r="P21" s="45" t="s">
        <v>124</v>
      </c>
      <c r="Q21" s="45" t="s">
        <v>120</v>
      </c>
      <c r="R21" s="45" t="s">
        <v>127</v>
      </c>
      <c r="S21" s="46">
        <v>21.95</v>
      </c>
    </row>
    <row r="22" spans="3:19" x14ac:dyDescent="0.3">
      <c r="M22" s="44">
        <v>41165</v>
      </c>
      <c r="N22" s="45">
        <v>61</v>
      </c>
      <c r="O22" s="45" t="s">
        <v>119</v>
      </c>
      <c r="P22" s="45" t="s">
        <v>115</v>
      </c>
      <c r="Q22" s="45" t="s">
        <v>118</v>
      </c>
      <c r="R22" s="45" t="s">
        <v>127</v>
      </c>
      <c r="S22" s="46">
        <v>19.95</v>
      </c>
    </row>
    <row r="23" spans="3:19" x14ac:dyDescent="0.3">
      <c r="M23" s="44">
        <v>41205</v>
      </c>
      <c r="N23" s="45">
        <v>18</v>
      </c>
      <c r="O23" s="45" t="s">
        <v>119</v>
      </c>
      <c r="P23" s="45" t="s">
        <v>123</v>
      </c>
      <c r="Q23" s="45" t="s">
        <v>116</v>
      </c>
      <c r="R23" s="45" t="s">
        <v>127</v>
      </c>
      <c r="S23" s="46">
        <v>22.95</v>
      </c>
    </row>
    <row r="24" spans="3:19" x14ac:dyDescent="0.3">
      <c r="M24" s="44">
        <v>41171</v>
      </c>
      <c r="N24" s="45">
        <v>22</v>
      </c>
      <c r="O24" s="45" t="s">
        <v>119</v>
      </c>
      <c r="P24" s="45" t="s">
        <v>124</v>
      </c>
      <c r="Q24" s="45" t="s">
        <v>116</v>
      </c>
      <c r="R24" s="45" t="s">
        <v>117</v>
      </c>
      <c r="S24" s="46">
        <v>22.95</v>
      </c>
    </row>
    <row r="25" spans="3:19" x14ac:dyDescent="0.3">
      <c r="M25" s="44">
        <v>41172</v>
      </c>
      <c r="N25" s="45">
        <v>52</v>
      </c>
      <c r="O25" s="45" t="s">
        <v>119</v>
      </c>
      <c r="P25" s="45" t="s">
        <v>122</v>
      </c>
      <c r="Q25" s="45" t="s">
        <v>116</v>
      </c>
      <c r="R25" s="45" t="s">
        <v>127</v>
      </c>
      <c r="S25" s="46">
        <v>22.95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EFD4-BCC6-41C6-9BB2-8301FD044B33}">
  <sheetPr codeName="Sheet1">
    <tabColor rgb="FF0000FF"/>
  </sheetPr>
  <dimension ref="B1:Q18"/>
  <sheetViews>
    <sheetView workbookViewId="0">
      <selection activeCell="R22" sqref="R22"/>
    </sheetView>
  </sheetViews>
  <sheetFormatPr defaultRowHeight="14.4" x14ac:dyDescent="0.3"/>
  <cols>
    <col min="5" max="5" width="15.33203125" bestFit="1" customWidth="1"/>
    <col min="12" max="12" width="4" bestFit="1" customWidth="1"/>
    <col min="13" max="13" width="10.21875" bestFit="1" customWidth="1"/>
    <col min="14" max="14" width="15.109375" bestFit="1" customWidth="1"/>
  </cols>
  <sheetData>
    <row r="1" spans="2:17" x14ac:dyDescent="0.3">
      <c r="M1" t="s">
        <v>345</v>
      </c>
    </row>
    <row r="3" spans="2:17" x14ac:dyDescent="0.3">
      <c r="B3" s="21" t="s">
        <v>133</v>
      </c>
      <c r="C3" s="21" t="s">
        <v>131</v>
      </c>
      <c r="D3" s="21" t="s">
        <v>109</v>
      </c>
      <c r="E3" s="21" t="s">
        <v>110</v>
      </c>
      <c r="F3" s="21" t="s">
        <v>132</v>
      </c>
      <c r="G3" s="21" t="s">
        <v>111</v>
      </c>
      <c r="H3" s="21" t="s">
        <v>112</v>
      </c>
      <c r="K3" s="21" t="s">
        <v>133</v>
      </c>
      <c r="L3" s="21" t="s">
        <v>131</v>
      </c>
      <c r="M3" s="21" t="s">
        <v>109</v>
      </c>
      <c r="N3" s="21" t="s">
        <v>110</v>
      </c>
      <c r="O3" s="21" t="s">
        <v>132</v>
      </c>
      <c r="P3" s="21" t="s">
        <v>111</v>
      </c>
      <c r="Q3" s="21" t="s">
        <v>112</v>
      </c>
    </row>
    <row r="4" spans="2:17" x14ac:dyDescent="0.3">
      <c r="B4" s="44">
        <v>41051</v>
      </c>
      <c r="C4" s="45">
        <v>21</v>
      </c>
      <c r="D4" s="45" t="s">
        <v>109</v>
      </c>
      <c r="E4" s="45" t="s">
        <v>115</v>
      </c>
      <c r="F4" s="45" t="s">
        <v>116</v>
      </c>
      <c r="G4" s="45" t="s">
        <v>117</v>
      </c>
      <c r="H4" s="46">
        <v>22.95</v>
      </c>
      <c r="K4" cm="1">
        <f t="array" ref="K4:Q6">_xlfn._xlws.FILTER(B4:H18,ISNUMBER(SEARCH(M1,E4:E18)))</f>
        <v>41152</v>
      </c>
      <c r="L4">
        <v>38</v>
      </c>
      <c r="M4" t="str">
        <v>No Coupon</v>
      </c>
      <c r="N4" t="str">
        <v>American Express</v>
      </c>
      <c r="O4" t="str">
        <v>Yanaki</v>
      </c>
      <c r="P4" t="str">
        <v>West</v>
      </c>
      <c r="Q4">
        <v>19.95</v>
      </c>
    </row>
    <row r="5" spans="2:17" x14ac:dyDescent="0.3">
      <c r="B5" s="44">
        <v>41089</v>
      </c>
      <c r="C5" s="45">
        <v>57</v>
      </c>
      <c r="D5" s="45" t="s">
        <v>109</v>
      </c>
      <c r="E5" s="45" t="s">
        <v>115</v>
      </c>
      <c r="F5" s="45" t="s">
        <v>118</v>
      </c>
      <c r="G5" s="45" t="s">
        <v>117</v>
      </c>
      <c r="H5" s="46">
        <v>19.95</v>
      </c>
      <c r="K5">
        <v>41038</v>
      </c>
      <c r="L5">
        <v>27</v>
      </c>
      <c r="M5" t="str">
        <v>No Coupon</v>
      </c>
      <c r="N5" t="str">
        <v>American Express</v>
      </c>
      <c r="O5" t="str">
        <v>Yanaki</v>
      </c>
      <c r="P5" t="str">
        <v>West</v>
      </c>
      <c r="Q5">
        <v>19.95</v>
      </c>
    </row>
    <row r="6" spans="2:17" x14ac:dyDescent="0.3">
      <c r="B6" s="44">
        <v>41218</v>
      </c>
      <c r="C6" s="45">
        <v>25</v>
      </c>
      <c r="D6" s="45" t="s">
        <v>119</v>
      </c>
      <c r="E6" s="45" t="s">
        <v>115</v>
      </c>
      <c r="F6" s="45" t="s">
        <v>120</v>
      </c>
      <c r="G6" s="45" t="s">
        <v>121</v>
      </c>
      <c r="H6" s="46">
        <v>21.95</v>
      </c>
      <c r="K6">
        <v>41172</v>
      </c>
      <c r="L6">
        <v>52</v>
      </c>
      <c r="M6" t="str">
        <v>No Coupon</v>
      </c>
      <c r="N6" t="str">
        <v>American Express</v>
      </c>
      <c r="O6" t="str">
        <v>Carlota</v>
      </c>
      <c r="P6" t="str">
        <v>Mid West</v>
      </c>
      <c r="Q6">
        <v>22.95</v>
      </c>
    </row>
    <row r="7" spans="2:17" x14ac:dyDescent="0.3">
      <c r="B7" s="44">
        <v>41152</v>
      </c>
      <c r="C7" s="45">
        <v>38</v>
      </c>
      <c r="D7" s="45" t="s">
        <v>119</v>
      </c>
      <c r="E7" s="45" t="s">
        <v>122</v>
      </c>
      <c r="F7" s="45" t="s">
        <v>118</v>
      </c>
      <c r="G7" s="45" t="s">
        <v>117</v>
      </c>
      <c r="H7" s="46">
        <v>19.95</v>
      </c>
    </row>
    <row r="8" spans="2:17" x14ac:dyDescent="0.3">
      <c r="B8" s="44">
        <v>41059</v>
      </c>
      <c r="C8" s="45">
        <v>22</v>
      </c>
      <c r="D8" s="45" t="s">
        <v>109</v>
      </c>
      <c r="E8" s="45" t="s">
        <v>123</v>
      </c>
      <c r="F8" s="45" t="s">
        <v>118</v>
      </c>
      <c r="G8" s="45" t="s">
        <v>117</v>
      </c>
      <c r="H8" s="46">
        <v>19.95</v>
      </c>
    </row>
    <row r="9" spans="2:17" x14ac:dyDescent="0.3">
      <c r="B9" s="44">
        <v>41187</v>
      </c>
      <c r="C9" s="45">
        <v>29</v>
      </c>
      <c r="D9" s="45" t="s">
        <v>109</v>
      </c>
      <c r="E9" s="45" t="s">
        <v>124</v>
      </c>
      <c r="F9" s="45" t="s">
        <v>118</v>
      </c>
      <c r="G9" s="45" t="s">
        <v>125</v>
      </c>
      <c r="H9" s="46">
        <v>19.95</v>
      </c>
    </row>
    <row r="10" spans="2:17" x14ac:dyDescent="0.3">
      <c r="B10" s="44">
        <v>40990</v>
      </c>
      <c r="C10" s="45">
        <v>18</v>
      </c>
      <c r="D10" s="45" t="s">
        <v>109</v>
      </c>
      <c r="E10" s="45" t="s">
        <v>123</v>
      </c>
      <c r="F10" s="45" t="s">
        <v>118</v>
      </c>
      <c r="G10" s="45" t="s">
        <v>117</v>
      </c>
      <c r="H10" s="46">
        <v>19.95</v>
      </c>
    </row>
    <row r="11" spans="2:17" x14ac:dyDescent="0.3">
      <c r="B11" s="44">
        <v>41074</v>
      </c>
      <c r="C11" s="45">
        <v>64</v>
      </c>
      <c r="D11" s="45" t="s">
        <v>119</v>
      </c>
      <c r="E11" s="45" t="s">
        <v>126</v>
      </c>
      <c r="F11" s="45" t="s">
        <v>118</v>
      </c>
      <c r="G11" s="45" t="s">
        <v>117</v>
      </c>
      <c r="H11" s="46">
        <v>19.95</v>
      </c>
    </row>
    <row r="12" spans="2:17" x14ac:dyDescent="0.3">
      <c r="B12" s="44">
        <v>41038</v>
      </c>
      <c r="C12" s="45">
        <v>27</v>
      </c>
      <c r="D12" s="45" t="s">
        <v>119</v>
      </c>
      <c r="E12" s="45" t="s">
        <v>122</v>
      </c>
      <c r="F12" s="45" t="s">
        <v>118</v>
      </c>
      <c r="G12" s="45" t="s">
        <v>117</v>
      </c>
      <c r="H12" s="46">
        <v>19.95</v>
      </c>
    </row>
    <row r="13" spans="2:17" x14ac:dyDescent="0.3">
      <c r="B13" s="44">
        <v>41149</v>
      </c>
      <c r="C13" s="45">
        <v>22</v>
      </c>
      <c r="D13" s="45" t="s">
        <v>119</v>
      </c>
      <c r="E13" s="45" t="s">
        <v>123</v>
      </c>
      <c r="F13" s="45" t="s">
        <v>120</v>
      </c>
      <c r="G13" s="45" t="s">
        <v>117</v>
      </c>
      <c r="H13" s="46">
        <v>21.95</v>
      </c>
    </row>
    <row r="14" spans="2:17" x14ac:dyDescent="0.3">
      <c r="B14" s="44">
        <v>41243</v>
      </c>
      <c r="C14" s="45">
        <v>39</v>
      </c>
      <c r="D14" s="45" t="s">
        <v>109</v>
      </c>
      <c r="E14" s="45" t="s">
        <v>124</v>
      </c>
      <c r="F14" s="45" t="s">
        <v>120</v>
      </c>
      <c r="G14" s="45" t="s">
        <v>127</v>
      </c>
      <c r="H14" s="46">
        <v>21.95</v>
      </c>
    </row>
    <row r="15" spans="2:17" x14ac:dyDescent="0.3">
      <c r="B15" s="44">
        <v>41165</v>
      </c>
      <c r="C15" s="45">
        <v>61</v>
      </c>
      <c r="D15" s="45" t="s">
        <v>119</v>
      </c>
      <c r="E15" s="45" t="s">
        <v>115</v>
      </c>
      <c r="F15" s="45" t="s">
        <v>118</v>
      </c>
      <c r="G15" s="45" t="s">
        <v>127</v>
      </c>
      <c r="H15" s="46">
        <v>19.95</v>
      </c>
    </row>
    <row r="16" spans="2:17" x14ac:dyDescent="0.3">
      <c r="B16" s="44">
        <v>41205</v>
      </c>
      <c r="C16" s="45">
        <v>18</v>
      </c>
      <c r="D16" s="45" t="s">
        <v>119</v>
      </c>
      <c r="E16" s="45" t="s">
        <v>123</v>
      </c>
      <c r="F16" s="45" t="s">
        <v>116</v>
      </c>
      <c r="G16" s="45" t="s">
        <v>127</v>
      </c>
      <c r="H16" s="46">
        <v>22.95</v>
      </c>
    </row>
    <row r="17" spans="2:8" x14ac:dyDescent="0.3">
      <c r="B17" s="44">
        <v>41171</v>
      </c>
      <c r="C17" s="45">
        <v>22</v>
      </c>
      <c r="D17" s="45" t="s">
        <v>119</v>
      </c>
      <c r="E17" s="45" t="s">
        <v>124</v>
      </c>
      <c r="F17" s="45" t="s">
        <v>116</v>
      </c>
      <c r="G17" s="45" t="s">
        <v>117</v>
      </c>
      <c r="H17" s="46">
        <v>22.95</v>
      </c>
    </row>
    <row r="18" spans="2:8" x14ac:dyDescent="0.3">
      <c r="B18" s="44">
        <v>41172</v>
      </c>
      <c r="C18" s="45">
        <v>52</v>
      </c>
      <c r="D18" s="45" t="s">
        <v>119</v>
      </c>
      <c r="E18" s="45" t="s">
        <v>122</v>
      </c>
      <c r="F18" s="45" t="s">
        <v>116</v>
      </c>
      <c r="G18" s="45" t="s">
        <v>127</v>
      </c>
      <c r="H18" s="46">
        <v>22.95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TextBox1">
          <controlPr defaultSize="0" autoLine="0" linkedCell="M1" r:id="rId4">
            <anchor moveWithCells="1">
              <from>
                <xdr:col>10</xdr:col>
                <xdr:colOff>434340</xdr:colOff>
                <xdr:row>0</xdr:row>
                <xdr:rowOff>0</xdr:rowOff>
              </from>
              <to>
                <xdr:col>14</xdr:col>
                <xdr:colOff>190500</xdr:colOff>
                <xdr:row>2</xdr:row>
                <xdr:rowOff>7620</xdr:rowOff>
              </to>
            </anchor>
          </controlPr>
        </control>
      </mc:Choice>
      <mc:Fallback>
        <control shapeId="6145" r:id="rId3" name="Text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rgb="FF0000FF"/>
  </sheetPr>
  <dimension ref="A1:H16"/>
  <sheetViews>
    <sheetView zoomScale="145" zoomScaleNormal="145" workbookViewId="0">
      <selection activeCell="J5" sqref="J5"/>
    </sheetView>
  </sheetViews>
  <sheetFormatPr defaultRowHeight="14.4" x14ac:dyDescent="0.3"/>
  <cols>
    <col min="1" max="1" width="19.88671875" customWidth="1"/>
    <col min="2" max="4" width="14.33203125" customWidth="1"/>
    <col min="6" max="6" width="16.5546875" bestFit="1" customWidth="1"/>
    <col min="7" max="7" width="10.6640625" customWidth="1"/>
    <col min="8" max="8" width="9.109375" customWidth="1"/>
    <col min="9" max="9" width="11.33203125" bestFit="1" customWidth="1"/>
  </cols>
  <sheetData>
    <row r="1" spans="1:8" x14ac:dyDescent="0.3">
      <c r="A1" s="13" t="s">
        <v>35</v>
      </c>
    </row>
    <row r="2" spans="1:8" ht="18" x14ac:dyDescent="0.35">
      <c r="A2" s="27" t="str">
        <f ca="1">"Topic: "&amp;INDEX(Topics!$A$12:$A$42,MATCH(REPLACE(CELL("filename",A1),1,SEARCH("]",CELL("filename",A1)),""),Topics!$C$12:$C$42,0))</f>
        <v>Topic: What is a PivotTable?</v>
      </c>
    </row>
    <row r="4" spans="1:8" x14ac:dyDescent="0.3">
      <c r="A4" t="s">
        <v>158</v>
      </c>
    </row>
    <row r="6" spans="1:8" x14ac:dyDescent="0.3">
      <c r="A6" s="21" t="s">
        <v>71</v>
      </c>
      <c r="B6" s="21" t="s">
        <v>72</v>
      </c>
      <c r="C6" s="21" t="s">
        <v>73</v>
      </c>
      <c r="D6" s="21" t="s">
        <v>74</v>
      </c>
      <c r="F6" s="33" t="s">
        <v>82</v>
      </c>
      <c r="G6" s="33" t="s">
        <v>73</v>
      </c>
      <c r="H6" s="16"/>
    </row>
    <row r="7" spans="1:8" x14ac:dyDescent="0.3">
      <c r="A7" s="16" t="s">
        <v>83</v>
      </c>
      <c r="B7" s="16" t="s">
        <v>78</v>
      </c>
      <c r="C7" s="16" t="s">
        <v>80</v>
      </c>
      <c r="D7" s="16">
        <v>3.8</v>
      </c>
      <c r="F7" s="33" t="s">
        <v>72</v>
      </c>
      <c r="G7" s="16" t="s">
        <v>81</v>
      </c>
      <c r="H7" s="16" t="s">
        <v>80</v>
      </c>
    </row>
    <row r="8" spans="1:8" x14ac:dyDescent="0.3">
      <c r="A8" s="16" t="s">
        <v>84</v>
      </c>
      <c r="B8" s="16" t="s">
        <v>79</v>
      </c>
      <c r="C8" s="16" t="s">
        <v>81</v>
      </c>
      <c r="D8" s="16">
        <v>2.7</v>
      </c>
      <c r="F8" s="16" t="s">
        <v>78</v>
      </c>
      <c r="G8" s="16">
        <v>3.2</v>
      </c>
      <c r="H8" s="35">
        <v>3.4</v>
      </c>
    </row>
    <row r="9" spans="1:8" x14ac:dyDescent="0.3">
      <c r="A9" s="16" t="s">
        <v>85</v>
      </c>
      <c r="B9" s="16" t="s">
        <v>78</v>
      </c>
      <c r="C9" s="16" t="s">
        <v>80</v>
      </c>
      <c r="D9" s="16">
        <v>2.5</v>
      </c>
      <c r="F9" s="16" t="s">
        <v>79</v>
      </c>
      <c r="G9" s="32">
        <v>2.4499999999999997</v>
      </c>
      <c r="H9" s="16">
        <v>3.4</v>
      </c>
    </row>
    <row r="10" spans="1:8" x14ac:dyDescent="0.3">
      <c r="A10" s="16" t="s">
        <v>86</v>
      </c>
      <c r="B10" s="16" t="s">
        <v>79</v>
      </c>
      <c r="C10" s="16" t="s">
        <v>81</v>
      </c>
      <c r="D10" s="16">
        <v>3</v>
      </c>
    </row>
    <row r="11" spans="1:8" x14ac:dyDescent="0.3">
      <c r="A11" s="16" t="s">
        <v>87</v>
      </c>
      <c r="B11" s="16" t="s">
        <v>78</v>
      </c>
      <c r="C11" s="16" t="s">
        <v>80</v>
      </c>
      <c r="D11" s="16">
        <v>3.9</v>
      </c>
      <c r="F11" t="s">
        <v>163</v>
      </c>
    </row>
    <row r="12" spans="1:8" x14ac:dyDescent="0.3">
      <c r="A12" s="16" t="s">
        <v>88</v>
      </c>
      <c r="B12" s="16" t="s">
        <v>78</v>
      </c>
      <c r="C12" s="16" t="s">
        <v>81</v>
      </c>
      <c r="D12" s="16">
        <v>4</v>
      </c>
      <c r="F12" s="34" t="s">
        <v>162</v>
      </c>
    </row>
    <row r="13" spans="1:8" x14ac:dyDescent="0.3">
      <c r="A13" s="16" t="s">
        <v>89</v>
      </c>
      <c r="B13" s="16" t="s">
        <v>79</v>
      </c>
      <c r="C13" s="16" t="s">
        <v>80</v>
      </c>
      <c r="D13" s="16">
        <v>3.4</v>
      </c>
    </row>
    <row r="14" spans="1:8" x14ac:dyDescent="0.3">
      <c r="A14" s="16" t="s">
        <v>90</v>
      </c>
      <c r="B14" s="16" t="s">
        <v>79</v>
      </c>
      <c r="C14" s="16" t="s">
        <v>81</v>
      </c>
      <c r="D14" s="16">
        <v>2.5</v>
      </c>
      <c r="F14" t="s">
        <v>164</v>
      </c>
    </row>
    <row r="15" spans="1:8" x14ac:dyDescent="0.3">
      <c r="A15" s="16" t="s">
        <v>91</v>
      </c>
      <c r="B15" s="16" t="s">
        <v>78</v>
      </c>
      <c r="C15" s="16" t="s">
        <v>81</v>
      </c>
      <c r="D15" s="16">
        <v>2.4</v>
      </c>
    </row>
    <row r="16" spans="1:8" x14ac:dyDescent="0.3">
      <c r="A16" s="16" t="s">
        <v>92</v>
      </c>
      <c r="B16" s="16" t="s">
        <v>79</v>
      </c>
      <c r="C16" s="16" t="s">
        <v>81</v>
      </c>
      <c r="D16" s="16">
        <v>1.6</v>
      </c>
    </row>
  </sheetData>
  <conditionalFormatting sqref="A7:D16">
    <cfRule type="expression" dxfId="5" priority="1">
      <formula>AND($B7=$F$8,$C7=$H$7)</formula>
    </cfRule>
    <cfRule type="expression" dxfId="4" priority="2">
      <formula>AND($B7=$F$9,$C7=$G$7)</formula>
    </cfRule>
  </conditionalFormatting>
  <hyperlinks>
    <hyperlink ref="A1" location="Topics!B11" display="Home" xr:uid="{00000000-0004-0000-0C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0000FF"/>
  </sheetPr>
  <dimension ref="A1:G15"/>
  <sheetViews>
    <sheetView workbookViewId="0">
      <selection activeCell="J20" sqref="J20"/>
    </sheetView>
  </sheetViews>
  <sheetFormatPr defaultRowHeight="14.4" x14ac:dyDescent="0.3"/>
  <cols>
    <col min="1" max="1" width="19.88671875" customWidth="1"/>
    <col min="2" max="2" width="10.88671875" bestFit="1" customWidth="1"/>
    <col min="3" max="3" width="10.6640625" bestFit="1" customWidth="1"/>
    <col min="4" max="4" width="9.5546875" customWidth="1"/>
    <col min="5" max="5" width="16.5546875" customWidth="1"/>
    <col min="6" max="7" width="10.6640625" customWidth="1"/>
    <col min="8" max="8" width="11.33203125" bestFit="1" customWidth="1"/>
  </cols>
  <sheetData>
    <row r="1" spans="1:7" x14ac:dyDescent="0.3">
      <c r="A1" s="13" t="s">
        <v>35</v>
      </c>
      <c r="D1" s="1" t="s">
        <v>170</v>
      </c>
      <c r="F1" t="s">
        <v>165</v>
      </c>
      <c r="G1" t="s">
        <v>168</v>
      </c>
    </row>
    <row r="2" spans="1:7" ht="18" x14ac:dyDescent="0.35">
      <c r="A2" s="27" t="str">
        <f ca="1">"Topic: "&amp;INDEX(Topics!$A$12:$A$42,MATCH(REPLACE(CELL("filename",A1),1,SEARCH("]",CELL("filename",A1)),""),Topics!$C$12:$C$42,0))</f>
        <v>Topic: Easy 3 step method</v>
      </c>
      <c r="D2" s="1" t="s">
        <v>171</v>
      </c>
      <c r="F2" t="s">
        <v>166</v>
      </c>
      <c r="G2" t="s">
        <v>173</v>
      </c>
    </row>
    <row r="3" spans="1:7" x14ac:dyDescent="0.3">
      <c r="D3" s="1" t="s">
        <v>172</v>
      </c>
      <c r="F3" t="s">
        <v>167</v>
      </c>
      <c r="G3" t="s">
        <v>304</v>
      </c>
    </row>
    <row r="4" spans="1:7" x14ac:dyDescent="0.3">
      <c r="F4" t="s">
        <v>174</v>
      </c>
      <c r="G4" t="s">
        <v>175</v>
      </c>
    </row>
    <row r="5" spans="1:7" x14ac:dyDescent="0.3">
      <c r="A5" s="21" t="s">
        <v>71</v>
      </c>
      <c r="B5" s="21" t="s">
        <v>72</v>
      </c>
      <c r="C5" s="21" t="s">
        <v>73</v>
      </c>
      <c r="D5" s="21" t="s">
        <v>74</v>
      </c>
      <c r="G5" t="s">
        <v>176</v>
      </c>
    </row>
    <row r="6" spans="1:7" x14ac:dyDescent="0.3">
      <c r="A6" s="16" t="s">
        <v>83</v>
      </c>
      <c r="B6" s="16" t="s">
        <v>78</v>
      </c>
      <c r="C6" s="16" t="s">
        <v>80</v>
      </c>
      <c r="D6" s="16">
        <v>4.5</v>
      </c>
      <c r="G6" t="s">
        <v>177</v>
      </c>
    </row>
    <row r="7" spans="1:7" x14ac:dyDescent="0.3">
      <c r="A7" s="16" t="s">
        <v>84</v>
      </c>
      <c r="B7" s="16" t="s">
        <v>79</v>
      </c>
      <c r="C7" s="16" t="s">
        <v>81</v>
      </c>
      <c r="D7" s="16">
        <v>2.7</v>
      </c>
    </row>
    <row r="8" spans="1:7" x14ac:dyDescent="0.3">
      <c r="A8" s="16" t="s">
        <v>85</v>
      </c>
      <c r="B8" s="16" t="s">
        <v>78</v>
      </c>
      <c r="C8" s="16" t="s">
        <v>80</v>
      </c>
      <c r="D8" s="16">
        <v>2.5</v>
      </c>
    </row>
    <row r="9" spans="1:7" x14ac:dyDescent="0.3">
      <c r="A9" s="16" t="s">
        <v>86</v>
      </c>
      <c r="B9" s="16" t="s">
        <v>79</v>
      </c>
      <c r="C9" s="16" t="s">
        <v>81</v>
      </c>
      <c r="D9" s="16">
        <v>3</v>
      </c>
    </row>
    <row r="10" spans="1:7" x14ac:dyDescent="0.3">
      <c r="A10" s="16" t="s">
        <v>87</v>
      </c>
      <c r="B10" s="16" t="s">
        <v>78</v>
      </c>
      <c r="C10" s="16" t="s">
        <v>80</v>
      </c>
      <c r="D10" s="16">
        <v>3.9</v>
      </c>
    </row>
    <row r="11" spans="1:7" x14ac:dyDescent="0.3">
      <c r="A11" s="16" t="s">
        <v>88</v>
      </c>
      <c r="B11" s="16" t="s">
        <v>78</v>
      </c>
      <c r="C11" s="16" t="s">
        <v>81</v>
      </c>
      <c r="D11" s="16">
        <v>4</v>
      </c>
    </row>
    <row r="12" spans="1:7" x14ac:dyDescent="0.3">
      <c r="A12" s="16" t="s">
        <v>89</v>
      </c>
      <c r="B12" s="16" t="s">
        <v>79</v>
      </c>
      <c r="C12" s="16" t="s">
        <v>80</v>
      </c>
      <c r="D12" s="16">
        <v>3.4</v>
      </c>
    </row>
    <row r="13" spans="1:7" x14ac:dyDescent="0.3">
      <c r="A13" s="16" t="s">
        <v>90</v>
      </c>
      <c r="B13" s="16" t="s">
        <v>79</v>
      </c>
      <c r="C13" s="16" t="s">
        <v>81</v>
      </c>
      <c r="D13" s="16">
        <v>2.5</v>
      </c>
    </row>
    <row r="14" spans="1:7" x14ac:dyDescent="0.3">
      <c r="A14" s="16" t="s">
        <v>91</v>
      </c>
      <c r="B14" s="16" t="s">
        <v>78</v>
      </c>
      <c r="C14" s="16" t="s">
        <v>81</v>
      </c>
      <c r="D14" s="16">
        <v>2.4</v>
      </c>
    </row>
    <row r="15" spans="1:7" x14ac:dyDescent="0.3">
      <c r="A15" s="16" t="s">
        <v>92</v>
      </c>
      <c r="B15" s="16" t="s">
        <v>79</v>
      </c>
      <c r="C15" s="16" t="s">
        <v>81</v>
      </c>
      <c r="D15" s="16">
        <v>1.6</v>
      </c>
    </row>
  </sheetData>
  <hyperlinks>
    <hyperlink ref="A1" location="Topics!B11" display="Home" xr:uid="{00000000-0004-0000-0E00-00000000000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0000FF"/>
  </sheetPr>
  <dimension ref="A1:D64"/>
  <sheetViews>
    <sheetView workbookViewId="0">
      <pane ySplit="4" topLeftCell="A5" activePane="bottomLeft" state="frozen"/>
      <selection pane="bottomLeft" activeCell="F15" sqref="F15:K25"/>
    </sheetView>
  </sheetViews>
  <sheetFormatPr defaultRowHeight="14.4" x14ac:dyDescent="0.3"/>
  <cols>
    <col min="1" max="1" width="19.88671875" customWidth="1"/>
    <col min="2" max="2" width="21.33203125" customWidth="1"/>
    <col min="3" max="3" width="18.33203125" customWidth="1"/>
    <col min="4" max="4" width="13.5546875" customWidth="1"/>
    <col min="6" max="6" width="16.88671875" bestFit="1" customWidth="1"/>
    <col min="7" max="7" width="9.33203125" customWidth="1"/>
    <col min="8" max="9" width="12" customWidth="1"/>
    <col min="10" max="10" width="6.6640625" customWidth="1"/>
  </cols>
  <sheetData>
    <row r="1" spans="1:4" x14ac:dyDescent="0.3">
      <c r="A1" s="13" t="s">
        <v>35</v>
      </c>
      <c r="D1" t="s">
        <v>310</v>
      </c>
    </row>
    <row r="2" spans="1:4" ht="18" x14ac:dyDescent="0.35">
      <c r="A2" s="27" t="str">
        <f ca="1">"Topic: "&amp;INDEX(Topics!$A$12:$A$42,MATCH(REPLACE(CELL("filename",A1),1,SEARCH("]",CELL("filename",A1)),""),Topics!$C$12:$C$42,0))</f>
        <v>Topic: More than one calculation</v>
      </c>
      <c r="D2" t="s">
        <v>313</v>
      </c>
    </row>
    <row r="4" spans="1:4" ht="28.8" x14ac:dyDescent="0.3">
      <c r="A4" s="21" t="s">
        <v>178</v>
      </c>
      <c r="B4" s="21" t="s">
        <v>37</v>
      </c>
      <c r="C4" s="21" t="s">
        <v>299</v>
      </c>
      <c r="D4" s="23" t="s">
        <v>309</v>
      </c>
    </row>
    <row r="5" spans="1:4" x14ac:dyDescent="0.3">
      <c r="A5" s="16" t="s">
        <v>236</v>
      </c>
      <c r="B5" s="16" t="s">
        <v>179</v>
      </c>
      <c r="C5" s="16" t="s">
        <v>78</v>
      </c>
      <c r="D5" s="16">
        <v>3063</v>
      </c>
    </row>
    <row r="6" spans="1:4" x14ac:dyDescent="0.3">
      <c r="A6" s="16" t="s">
        <v>237</v>
      </c>
      <c r="B6" s="16" t="s">
        <v>180</v>
      </c>
      <c r="C6" s="16" t="s">
        <v>78</v>
      </c>
      <c r="D6" s="16">
        <v>274</v>
      </c>
    </row>
    <row r="7" spans="1:4" x14ac:dyDescent="0.3">
      <c r="A7" s="16" t="s">
        <v>238</v>
      </c>
      <c r="B7" s="16" t="s">
        <v>181</v>
      </c>
      <c r="C7" s="16" t="s">
        <v>300</v>
      </c>
      <c r="D7" s="16">
        <v>1621</v>
      </c>
    </row>
    <row r="8" spans="1:4" x14ac:dyDescent="0.3">
      <c r="A8" s="16" t="s">
        <v>239</v>
      </c>
      <c r="B8" s="16" t="s">
        <v>182</v>
      </c>
      <c r="C8" s="16" t="s">
        <v>301</v>
      </c>
      <c r="D8" s="16">
        <v>2034</v>
      </c>
    </row>
    <row r="9" spans="1:4" x14ac:dyDescent="0.3">
      <c r="A9" s="16" t="s">
        <v>240</v>
      </c>
      <c r="B9" s="16" t="s">
        <v>183</v>
      </c>
      <c r="C9" s="16" t="s">
        <v>300</v>
      </c>
      <c r="D9" s="16">
        <v>1219</v>
      </c>
    </row>
    <row r="10" spans="1:4" x14ac:dyDescent="0.3">
      <c r="A10" s="16" t="s">
        <v>241</v>
      </c>
      <c r="B10" s="16" t="s">
        <v>184</v>
      </c>
      <c r="C10" s="16" t="s">
        <v>301</v>
      </c>
      <c r="D10" s="16">
        <v>1817</v>
      </c>
    </row>
    <row r="11" spans="1:4" x14ac:dyDescent="0.3">
      <c r="A11" s="16" t="s">
        <v>242</v>
      </c>
      <c r="B11" s="16" t="s">
        <v>185</v>
      </c>
      <c r="C11" s="16" t="s">
        <v>300</v>
      </c>
      <c r="D11" s="16">
        <v>2998</v>
      </c>
    </row>
    <row r="12" spans="1:4" x14ac:dyDescent="0.3">
      <c r="A12" s="16" t="s">
        <v>243</v>
      </c>
      <c r="B12" s="16" t="s">
        <v>186</v>
      </c>
      <c r="C12" s="16" t="s">
        <v>78</v>
      </c>
      <c r="D12" s="16">
        <v>1944</v>
      </c>
    </row>
    <row r="13" spans="1:4" x14ac:dyDescent="0.3">
      <c r="A13" s="16" t="s">
        <v>244</v>
      </c>
      <c r="B13" s="16" t="s">
        <v>187</v>
      </c>
      <c r="C13" s="16" t="s">
        <v>303</v>
      </c>
      <c r="D13" s="16">
        <v>1976</v>
      </c>
    </row>
    <row r="14" spans="1:4" x14ac:dyDescent="0.3">
      <c r="A14" s="16" t="s">
        <v>245</v>
      </c>
      <c r="B14" s="16" t="s">
        <v>188</v>
      </c>
      <c r="C14" s="16" t="s">
        <v>303</v>
      </c>
      <c r="D14" s="16">
        <v>1396</v>
      </c>
    </row>
    <row r="15" spans="1:4" x14ac:dyDescent="0.3">
      <c r="A15" s="16" t="s">
        <v>246</v>
      </c>
      <c r="B15" s="16" t="s">
        <v>189</v>
      </c>
      <c r="C15" s="16" t="s">
        <v>300</v>
      </c>
      <c r="D15" s="16">
        <v>2171</v>
      </c>
    </row>
    <row r="16" spans="1:4" x14ac:dyDescent="0.3">
      <c r="A16" s="16" t="s">
        <v>247</v>
      </c>
      <c r="B16" s="16" t="s">
        <v>296</v>
      </c>
      <c r="C16" s="16" t="s">
        <v>303</v>
      </c>
      <c r="D16" s="16">
        <v>2050</v>
      </c>
    </row>
    <row r="17" spans="1:4" x14ac:dyDescent="0.3">
      <c r="A17" s="16" t="s">
        <v>248</v>
      </c>
      <c r="B17" s="16" t="s">
        <v>190</v>
      </c>
      <c r="C17" s="16" t="s">
        <v>303</v>
      </c>
      <c r="D17" s="16">
        <v>2739</v>
      </c>
    </row>
    <row r="18" spans="1:4" x14ac:dyDescent="0.3">
      <c r="A18" s="16" t="s">
        <v>249</v>
      </c>
      <c r="B18" s="16" t="s">
        <v>191</v>
      </c>
      <c r="C18" s="16" t="s">
        <v>302</v>
      </c>
      <c r="D18" s="16">
        <v>1877</v>
      </c>
    </row>
    <row r="19" spans="1:4" x14ac:dyDescent="0.3">
      <c r="A19" s="16" t="s">
        <v>250</v>
      </c>
      <c r="B19" s="16" t="s">
        <v>192</v>
      </c>
      <c r="C19" s="16" t="s">
        <v>301</v>
      </c>
      <c r="D19" s="16">
        <v>2896</v>
      </c>
    </row>
    <row r="20" spans="1:4" x14ac:dyDescent="0.3">
      <c r="A20" s="16" t="s">
        <v>251</v>
      </c>
      <c r="B20" s="16" t="s">
        <v>193</v>
      </c>
      <c r="C20" s="16" t="s">
        <v>78</v>
      </c>
      <c r="D20" s="16">
        <v>2298</v>
      </c>
    </row>
    <row r="21" spans="1:4" x14ac:dyDescent="0.3">
      <c r="A21" s="16" t="s">
        <v>252</v>
      </c>
      <c r="B21" s="16" t="s">
        <v>194</v>
      </c>
      <c r="C21" s="16" t="s">
        <v>78</v>
      </c>
      <c r="D21" s="16">
        <v>1134</v>
      </c>
    </row>
    <row r="22" spans="1:4" x14ac:dyDescent="0.3">
      <c r="A22" s="16" t="s">
        <v>253</v>
      </c>
      <c r="B22" s="16" t="s">
        <v>195</v>
      </c>
      <c r="C22" s="16" t="s">
        <v>300</v>
      </c>
      <c r="D22" s="16">
        <v>1262</v>
      </c>
    </row>
    <row r="23" spans="1:4" x14ac:dyDescent="0.3">
      <c r="A23" s="16" t="s">
        <v>254</v>
      </c>
      <c r="B23" s="16" t="s">
        <v>196</v>
      </c>
      <c r="C23" s="16" t="s">
        <v>301</v>
      </c>
      <c r="D23" s="16">
        <v>3489</v>
      </c>
    </row>
    <row r="24" spans="1:4" x14ac:dyDescent="0.3">
      <c r="A24" s="16" t="s">
        <v>255</v>
      </c>
      <c r="B24" s="16" t="s">
        <v>197</v>
      </c>
      <c r="C24" s="16" t="s">
        <v>78</v>
      </c>
      <c r="D24" s="16">
        <v>3460</v>
      </c>
    </row>
    <row r="25" spans="1:4" x14ac:dyDescent="0.3">
      <c r="A25" s="16" t="s">
        <v>256</v>
      </c>
      <c r="B25" s="16" t="s">
        <v>198</v>
      </c>
      <c r="C25" s="16" t="s">
        <v>78</v>
      </c>
      <c r="D25" s="16">
        <v>1076</v>
      </c>
    </row>
    <row r="26" spans="1:4" x14ac:dyDescent="0.3">
      <c r="A26" s="16" t="s">
        <v>257</v>
      </c>
      <c r="B26" s="16" t="s">
        <v>199</v>
      </c>
      <c r="C26" s="16" t="s">
        <v>300</v>
      </c>
      <c r="D26" s="16">
        <v>104</v>
      </c>
    </row>
    <row r="27" spans="1:4" x14ac:dyDescent="0.3">
      <c r="A27" s="16" t="s">
        <v>258</v>
      </c>
      <c r="B27" s="16" t="s">
        <v>200</v>
      </c>
      <c r="C27" s="16" t="s">
        <v>302</v>
      </c>
      <c r="D27" s="16">
        <v>180</v>
      </c>
    </row>
    <row r="28" spans="1:4" x14ac:dyDescent="0.3">
      <c r="A28" s="16" t="s">
        <v>259</v>
      </c>
      <c r="B28" s="16" t="s">
        <v>201</v>
      </c>
      <c r="C28" s="16" t="s">
        <v>300</v>
      </c>
      <c r="D28" s="16">
        <v>1873</v>
      </c>
    </row>
    <row r="29" spans="1:4" x14ac:dyDescent="0.3">
      <c r="A29" s="16" t="s">
        <v>260</v>
      </c>
      <c r="B29" s="16" t="s">
        <v>202</v>
      </c>
      <c r="C29" s="16" t="s">
        <v>303</v>
      </c>
      <c r="D29" s="16">
        <v>2348</v>
      </c>
    </row>
    <row r="30" spans="1:4" x14ac:dyDescent="0.3">
      <c r="A30" s="16" t="s">
        <v>261</v>
      </c>
      <c r="B30" s="16" t="s">
        <v>203</v>
      </c>
      <c r="C30" s="16" t="s">
        <v>78</v>
      </c>
      <c r="D30" s="16">
        <v>1370</v>
      </c>
    </row>
    <row r="31" spans="1:4" x14ac:dyDescent="0.3">
      <c r="A31" s="16" t="s">
        <v>262</v>
      </c>
      <c r="B31" s="16" t="s">
        <v>204</v>
      </c>
      <c r="C31" s="16" t="s">
        <v>303</v>
      </c>
      <c r="D31" s="16">
        <v>1764</v>
      </c>
    </row>
    <row r="32" spans="1:4" x14ac:dyDescent="0.3">
      <c r="A32" s="16" t="s">
        <v>263</v>
      </c>
      <c r="B32" s="16" t="s">
        <v>205</v>
      </c>
      <c r="C32" s="16" t="s">
        <v>78</v>
      </c>
      <c r="D32" s="16">
        <v>3318</v>
      </c>
    </row>
    <row r="33" spans="1:4" x14ac:dyDescent="0.3">
      <c r="A33" s="16" t="s">
        <v>264</v>
      </c>
      <c r="B33" s="16" t="s">
        <v>206</v>
      </c>
      <c r="C33" s="16" t="s">
        <v>300</v>
      </c>
      <c r="D33" s="16">
        <v>1725</v>
      </c>
    </row>
    <row r="34" spans="1:4" x14ac:dyDescent="0.3">
      <c r="A34" s="16" t="s">
        <v>265</v>
      </c>
      <c r="B34" s="16" t="s">
        <v>207</v>
      </c>
      <c r="C34" s="16" t="s">
        <v>301</v>
      </c>
      <c r="D34" s="16">
        <v>2844</v>
      </c>
    </row>
    <row r="35" spans="1:4" x14ac:dyDescent="0.3">
      <c r="A35" s="16" t="s">
        <v>266</v>
      </c>
      <c r="B35" s="16" t="s">
        <v>208</v>
      </c>
      <c r="C35" s="16" t="s">
        <v>302</v>
      </c>
      <c r="D35" s="16">
        <v>2252</v>
      </c>
    </row>
    <row r="36" spans="1:4" x14ac:dyDescent="0.3">
      <c r="A36" s="16" t="s">
        <v>267</v>
      </c>
      <c r="B36" s="16" t="s">
        <v>209</v>
      </c>
      <c r="C36" s="16" t="s">
        <v>302</v>
      </c>
      <c r="D36" s="16">
        <v>2898</v>
      </c>
    </row>
    <row r="37" spans="1:4" x14ac:dyDescent="0.3">
      <c r="A37" s="16" t="s">
        <v>268</v>
      </c>
      <c r="B37" s="16" t="s">
        <v>210</v>
      </c>
      <c r="C37" s="16" t="s">
        <v>303</v>
      </c>
      <c r="D37" s="16">
        <v>2240</v>
      </c>
    </row>
    <row r="38" spans="1:4" x14ac:dyDescent="0.3">
      <c r="A38" s="16" t="s">
        <v>269</v>
      </c>
      <c r="B38" s="16" t="s">
        <v>211</v>
      </c>
      <c r="C38" s="16" t="s">
        <v>300</v>
      </c>
      <c r="D38" s="16">
        <v>297</v>
      </c>
    </row>
    <row r="39" spans="1:4" x14ac:dyDescent="0.3">
      <c r="A39" s="16" t="s">
        <v>270</v>
      </c>
      <c r="B39" s="16" t="s">
        <v>212</v>
      </c>
      <c r="C39" s="16" t="s">
        <v>301</v>
      </c>
      <c r="D39" s="16">
        <v>2928</v>
      </c>
    </row>
    <row r="40" spans="1:4" x14ac:dyDescent="0.3">
      <c r="A40" s="16" t="s">
        <v>271</v>
      </c>
      <c r="B40" s="16" t="s">
        <v>213</v>
      </c>
      <c r="C40" s="16" t="s">
        <v>301</v>
      </c>
      <c r="D40" s="16">
        <v>2686</v>
      </c>
    </row>
    <row r="41" spans="1:4" x14ac:dyDescent="0.3">
      <c r="A41" s="16" t="s">
        <v>272</v>
      </c>
      <c r="B41" s="16" t="s">
        <v>214</v>
      </c>
      <c r="C41" s="16" t="s">
        <v>302</v>
      </c>
      <c r="D41" s="16">
        <v>2160</v>
      </c>
    </row>
    <row r="42" spans="1:4" x14ac:dyDescent="0.3">
      <c r="A42" s="16" t="s">
        <v>273</v>
      </c>
      <c r="B42" s="16" t="s">
        <v>215</v>
      </c>
      <c r="C42" s="16" t="s">
        <v>78</v>
      </c>
      <c r="D42" s="16">
        <v>3493</v>
      </c>
    </row>
    <row r="43" spans="1:4" x14ac:dyDescent="0.3">
      <c r="A43" s="16" t="s">
        <v>274</v>
      </c>
      <c r="B43" s="16" t="s">
        <v>216</v>
      </c>
      <c r="C43" s="16" t="s">
        <v>300</v>
      </c>
      <c r="D43" s="16">
        <v>2891</v>
      </c>
    </row>
    <row r="44" spans="1:4" x14ac:dyDescent="0.3">
      <c r="A44" s="16" t="s">
        <v>275</v>
      </c>
      <c r="B44" s="16" t="s">
        <v>298</v>
      </c>
      <c r="C44" s="16" t="s">
        <v>301</v>
      </c>
      <c r="D44" s="16">
        <v>388</v>
      </c>
    </row>
    <row r="45" spans="1:4" x14ac:dyDescent="0.3">
      <c r="A45" s="16" t="s">
        <v>276</v>
      </c>
      <c r="B45" s="16" t="s">
        <v>217</v>
      </c>
      <c r="C45" s="16" t="s">
        <v>303</v>
      </c>
      <c r="D45" s="16">
        <v>264</v>
      </c>
    </row>
    <row r="46" spans="1:4" x14ac:dyDescent="0.3">
      <c r="A46" s="16" t="s">
        <v>277</v>
      </c>
      <c r="B46" s="16" t="s">
        <v>218</v>
      </c>
      <c r="C46" s="16" t="s">
        <v>78</v>
      </c>
      <c r="D46" s="16">
        <v>2803</v>
      </c>
    </row>
    <row r="47" spans="1:4" x14ac:dyDescent="0.3">
      <c r="A47" s="16" t="s">
        <v>278</v>
      </c>
      <c r="B47" s="16" t="s">
        <v>297</v>
      </c>
      <c r="C47" s="16" t="s">
        <v>300</v>
      </c>
      <c r="D47" s="16">
        <v>472</v>
      </c>
    </row>
    <row r="48" spans="1:4" x14ac:dyDescent="0.3">
      <c r="A48" s="16" t="s">
        <v>279</v>
      </c>
      <c r="B48" s="16" t="s">
        <v>219</v>
      </c>
      <c r="C48" s="16" t="s">
        <v>302</v>
      </c>
      <c r="D48" s="16">
        <v>1300</v>
      </c>
    </row>
    <row r="49" spans="1:4" x14ac:dyDescent="0.3">
      <c r="A49" s="16" t="s">
        <v>280</v>
      </c>
      <c r="B49" s="16" t="s">
        <v>220</v>
      </c>
      <c r="C49" s="16" t="s">
        <v>303</v>
      </c>
      <c r="D49" s="16">
        <v>3531</v>
      </c>
    </row>
    <row r="50" spans="1:4" x14ac:dyDescent="0.3">
      <c r="A50" s="16" t="s">
        <v>281</v>
      </c>
      <c r="B50" s="16" t="s">
        <v>221</v>
      </c>
      <c r="C50" s="16" t="s">
        <v>301</v>
      </c>
      <c r="D50" s="16">
        <v>2001</v>
      </c>
    </row>
    <row r="51" spans="1:4" x14ac:dyDescent="0.3">
      <c r="A51" s="16" t="s">
        <v>282</v>
      </c>
      <c r="B51" s="16" t="s">
        <v>222</v>
      </c>
      <c r="C51" s="16" t="s">
        <v>302</v>
      </c>
      <c r="D51" s="16">
        <v>340</v>
      </c>
    </row>
    <row r="52" spans="1:4" x14ac:dyDescent="0.3">
      <c r="A52" s="16" t="s">
        <v>283</v>
      </c>
      <c r="B52" s="16" t="s">
        <v>223</v>
      </c>
      <c r="C52" s="16" t="s">
        <v>301</v>
      </c>
      <c r="D52" s="16">
        <v>1884</v>
      </c>
    </row>
    <row r="53" spans="1:4" x14ac:dyDescent="0.3">
      <c r="A53" s="16" t="s">
        <v>284</v>
      </c>
      <c r="B53" s="16" t="s">
        <v>224</v>
      </c>
      <c r="C53" s="16" t="s">
        <v>303</v>
      </c>
      <c r="D53" s="16">
        <v>1964</v>
      </c>
    </row>
    <row r="54" spans="1:4" x14ac:dyDescent="0.3">
      <c r="A54" s="16" t="s">
        <v>285</v>
      </c>
      <c r="B54" s="16" t="s">
        <v>225</v>
      </c>
      <c r="C54" s="16" t="s">
        <v>302</v>
      </c>
      <c r="D54" s="16">
        <v>1224</v>
      </c>
    </row>
    <row r="55" spans="1:4" x14ac:dyDescent="0.3">
      <c r="A55" s="16" t="s">
        <v>286</v>
      </c>
      <c r="B55" s="16" t="s">
        <v>226</v>
      </c>
      <c r="C55" s="16" t="s">
        <v>303</v>
      </c>
      <c r="D55" s="16">
        <v>3222</v>
      </c>
    </row>
    <row r="56" spans="1:4" x14ac:dyDescent="0.3">
      <c r="A56" s="16" t="s">
        <v>287</v>
      </c>
      <c r="B56" s="16" t="s">
        <v>227</v>
      </c>
      <c r="C56" s="16" t="s">
        <v>303</v>
      </c>
      <c r="D56" s="16">
        <v>1355</v>
      </c>
    </row>
    <row r="57" spans="1:4" x14ac:dyDescent="0.3">
      <c r="A57" s="16" t="s">
        <v>288</v>
      </c>
      <c r="B57" s="16" t="s">
        <v>228</v>
      </c>
      <c r="C57" s="16" t="s">
        <v>303</v>
      </c>
      <c r="D57" s="16">
        <v>2726</v>
      </c>
    </row>
    <row r="58" spans="1:4" x14ac:dyDescent="0.3">
      <c r="A58" s="16" t="s">
        <v>289</v>
      </c>
      <c r="B58" s="16" t="s">
        <v>229</v>
      </c>
      <c r="C58" s="16" t="s">
        <v>78</v>
      </c>
      <c r="D58" s="16">
        <v>278</v>
      </c>
    </row>
    <row r="59" spans="1:4" x14ac:dyDescent="0.3">
      <c r="A59" s="16" t="s">
        <v>290</v>
      </c>
      <c r="B59" s="16" t="s">
        <v>230</v>
      </c>
      <c r="C59" s="16" t="s">
        <v>303</v>
      </c>
      <c r="D59" s="16">
        <v>2603</v>
      </c>
    </row>
    <row r="60" spans="1:4" x14ac:dyDescent="0.3">
      <c r="A60" s="16" t="s">
        <v>291</v>
      </c>
      <c r="B60" s="16" t="s">
        <v>231</v>
      </c>
      <c r="C60" s="16" t="s">
        <v>300</v>
      </c>
      <c r="D60" s="16">
        <v>1463</v>
      </c>
    </row>
    <row r="61" spans="1:4" x14ac:dyDescent="0.3">
      <c r="A61" s="16" t="s">
        <v>292</v>
      </c>
      <c r="B61" s="16" t="s">
        <v>232</v>
      </c>
      <c r="C61" s="16" t="s">
        <v>78</v>
      </c>
      <c r="D61" s="16">
        <v>1922</v>
      </c>
    </row>
    <row r="62" spans="1:4" x14ac:dyDescent="0.3">
      <c r="A62" s="16" t="s">
        <v>293</v>
      </c>
      <c r="B62" s="16" t="s">
        <v>233</v>
      </c>
      <c r="C62" s="16" t="s">
        <v>302</v>
      </c>
      <c r="D62" s="16">
        <v>1870</v>
      </c>
    </row>
    <row r="63" spans="1:4" x14ac:dyDescent="0.3">
      <c r="A63" s="16" t="s">
        <v>294</v>
      </c>
      <c r="B63" s="16" t="s">
        <v>234</v>
      </c>
      <c r="C63" s="16" t="s">
        <v>301</v>
      </c>
      <c r="D63" s="16">
        <v>2617</v>
      </c>
    </row>
    <row r="64" spans="1:4" x14ac:dyDescent="0.3">
      <c r="A64" s="16" t="s">
        <v>295</v>
      </c>
      <c r="B64" s="16" t="s">
        <v>235</v>
      </c>
      <c r="C64" s="16" t="s">
        <v>301</v>
      </c>
      <c r="D64" s="16">
        <v>3467</v>
      </c>
    </row>
  </sheetData>
  <hyperlinks>
    <hyperlink ref="A1" location="Topics!B11" display="Home" xr:uid="{00000000-0004-0000-1000-000000000000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0000FF"/>
  </sheetPr>
  <dimension ref="A1:M64"/>
  <sheetViews>
    <sheetView topLeftCell="B4" workbookViewId="0">
      <selection activeCell="D10" sqref="D10"/>
    </sheetView>
  </sheetViews>
  <sheetFormatPr defaultRowHeight="14.4" x14ac:dyDescent="0.3"/>
  <cols>
    <col min="1" max="1" width="19.88671875" customWidth="1"/>
    <col min="2" max="2" width="21.33203125" customWidth="1"/>
    <col min="3" max="3" width="18.33203125" customWidth="1"/>
    <col min="4" max="4" width="13.5546875" customWidth="1"/>
    <col min="6" max="6" width="13.109375" customWidth="1"/>
    <col min="7" max="7" width="30.33203125" customWidth="1"/>
    <col min="8" max="8" width="5" customWidth="1"/>
    <col min="9" max="9" width="8.44140625" customWidth="1"/>
    <col min="10" max="10" width="6.33203125" customWidth="1"/>
  </cols>
  <sheetData>
    <row r="1" spans="1:13" x14ac:dyDescent="0.3">
      <c r="A1" s="13" t="s">
        <v>35</v>
      </c>
      <c r="D1" t="s">
        <v>331</v>
      </c>
      <c r="M1">
        <f ca="1">CHOOSE(RANDBETWEEN(1,5),RANDBETWEEN(1000,$G$4),RANDBETWEEN(1000,$G$4),RANDBETWEEN(1000,$G$4),RANDBETWEEN(1000,$G$4),RANDBETWEEN(100,500))</f>
        <v>385</v>
      </c>
    </row>
    <row r="2" spans="1:13" ht="18" x14ac:dyDescent="0.35">
      <c r="A2" s="27" t="str">
        <f ca="1">"Topic: "&amp;INDEX(Topics!$A$12:$A$42,MATCH(REPLACE(CELL("filename",A1),1,SEARCH("]",CELL("filename",A1)),""),Topics!$C$12:$C$42,0))</f>
        <v>Topic: Grouping Numbers</v>
      </c>
    </row>
    <row r="4" spans="1:13" ht="28.8" x14ac:dyDescent="0.3">
      <c r="A4" s="21" t="s">
        <v>178</v>
      </c>
      <c r="B4" s="21" t="s">
        <v>37</v>
      </c>
      <c r="C4" s="21" t="s">
        <v>299</v>
      </c>
      <c r="D4" s="23" t="s">
        <v>309</v>
      </c>
    </row>
    <row r="5" spans="1:13" x14ac:dyDescent="0.3">
      <c r="A5" s="16" t="s">
        <v>236</v>
      </c>
      <c r="B5" s="16" t="s">
        <v>179</v>
      </c>
      <c r="C5" s="16" t="s">
        <v>78</v>
      </c>
      <c r="D5" s="16">
        <v>3063</v>
      </c>
    </row>
    <row r="6" spans="1:13" x14ac:dyDescent="0.3">
      <c r="A6" s="16" t="s">
        <v>237</v>
      </c>
      <c r="B6" s="16" t="s">
        <v>180</v>
      </c>
      <c r="C6" s="16" t="s">
        <v>78</v>
      </c>
      <c r="D6" s="16">
        <v>274</v>
      </c>
    </row>
    <row r="7" spans="1:13" x14ac:dyDescent="0.3">
      <c r="A7" s="16" t="s">
        <v>238</v>
      </c>
      <c r="B7" s="16" t="s">
        <v>181</v>
      </c>
      <c r="C7" s="16" t="s">
        <v>300</v>
      </c>
      <c r="D7" s="16">
        <v>121</v>
      </c>
    </row>
    <row r="8" spans="1:13" x14ac:dyDescent="0.3">
      <c r="A8" s="16" t="s">
        <v>239</v>
      </c>
      <c r="B8" s="16" t="s">
        <v>182</v>
      </c>
      <c r="C8" s="16" t="s">
        <v>301</v>
      </c>
      <c r="D8" s="16">
        <v>2034</v>
      </c>
    </row>
    <row r="9" spans="1:13" x14ac:dyDescent="0.3">
      <c r="A9" s="16" t="s">
        <v>240</v>
      </c>
      <c r="B9" s="16" t="s">
        <v>183</v>
      </c>
      <c r="C9" s="16" t="s">
        <v>300</v>
      </c>
      <c r="D9" s="16">
        <v>1219</v>
      </c>
    </row>
    <row r="10" spans="1:13" x14ac:dyDescent="0.3">
      <c r="A10" s="16" t="s">
        <v>241</v>
      </c>
      <c r="B10" s="16" t="s">
        <v>184</v>
      </c>
      <c r="C10" s="16" t="s">
        <v>301</v>
      </c>
      <c r="D10" s="16">
        <v>1817</v>
      </c>
    </row>
    <row r="11" spans="1:13" x14ac:dyDescent="0.3">
      <c r="A11" s="16" t="s">
        <v>242</v>
      </c>
      <c r="B11" s="16" t="s">
        <v>185</v>
      </c>
      <c r="C11" s="16" t="s">
        <v>300</v>
      </c>
      <c r="D11" s="16">
        <v>2998</v>
      </c>
    </row>
    <row r="12" spans="1:13" x14ac:dyDescent="0.3">
      <c r="A12" s="16" t="s">
        <v>243</v>
      </c>
      <c r="B12" s="16" t="s">
        <v>186</v>
      </c>
      <c r="C12" s="16" t="s">
        <v>78</v>
      </c>
      <c r="D12" s="16">
        <v>1944</v>
      </c>
      <c r="F12" s="26" t="s">
        <v>340</v>
      </c>
      <c r="G12" t="s">
        <v>321</v>
      </c>
    </row>
    <row r="13" spans="1:13" x14ac:dyDescent="0.3">
      <c r="A13" s="16" t="s">
        <v>244</v>
      </c>
      <c r="B13" s="16" t="s">
        <v>187</v>
      </c>
      <c r="C13" s="16" t="s">
        <v>303</v>
      </c>
      <c r="D13" s="16">
        <v>1976</v>
      </c>
      <c r="F13" s="43" t="s">
        <v>314</v>
      </c>
      <c r="G13">
        <v>9</v>
      </c>
    </row>
    <row r="14" spans="1:13" x14ac:dyDescent="0.3">
      <c r="A14" s="16" t="s">
        <v>245</v>
      </c>
      <c r="B14" s="16" t="s">
        <v>188</v>
      </c>
      <c r="C14" s="16" t="s">
        <v>303</v>
      </c>
      <c r="D14" s="16">
        <v>1396</v>
      </c>
      <c r="F14" s="43" t="s">
        <v>315</v>
      </c>
      <c r="G14">
        <v>1</v>
      </c>
    </row>
    <row r="15" spans="1:13" x14ac:dyDescent="0.3">
      <c r="A15" s="16" t="s">
        <v>246</v>
      </c>
      <c r="B15" s="16" t="s">
        <v>189</v>
      </c>
      <c r="C15" s="16" t="s">
        <v>300</v>
      </c>
      <c r="D15" s="16">
        <v>2171</v>
      </c>
      <c r="F15" s="43" t="s">
        <v>316</v>
      </c>
      <c r="G15">
        <v>9</v>
      </c>
    </row>
    <row r="16" spans="1:13" x14ac:dyDescent="0.3">
      <c r="A16" s="16" t="s">
        <v>247</v>
      </c>
      <c r="B16" s="16" t="s">
        <v>296</v>
      </c>
      <c r="C16" s="16" t="s">
        <v>303</v>
      </c>
      <c r="D16" s="16">
        <v>2050</v>
      </c>
      <c r="F16" s="43" t="s">
        <v>317</v>
      </c>
      <c r="G16">
        <v>15</v>
      </c>
    </row>
    <row r="17" spans="1:7" x14ac:dyDescent="0.3">
      <c r="A17" s="16" t="s">
        <v>248</v>
      </c>
      <c r="B17" s="16" t="s">
        <v>190</v>
      </c>
      <c r="C17" s="16" t="s">
        <v>303</v>
      </c>
      <c r="D17" s="16">
        <v>2739</v>
      </c>
      <c r="F17" s="43" t="s">
        <v>318</v>
      </c>
      <c r="G17">
        <v>6</v>
      </c>
    </row>
    <row r="18" spans="1:7" x14ac:dyDescent="0.3">
      <c r="A18" s="16" t="s">
        <v>249</v>
      </c>
      <c r="B18" s="16" t="s">
        <v>191</v>
      </c>
      <c r="C18" s="16" t="s">
        <v>302</v>
      </c>
      <c r="D18" s="16">
        <v>1877</v>
      </c>
      <c r="F18" s="43" t="s">
        <v>319</v>
      </c>
      <c r="G18">
        <v>13</v>
      </c>
    </row>
    <row r="19" spans="1:7" x14ac:dyDescent="0.3">
      <c r="A19" s="16" t="s">
        <v>250</v>
      </c>
      <c r="B19" s="16" t="s">
        <v>192</v>
      </c>
      <c r="C19" s="16" t="s">
        <v>301</v>
      </c>
      <c r="D19" s="16">
        <v>2896</v>
      </c>
      <c r="F19" s="43" t="s">
        <v>320</v>
      </c>
      <c r="G19">
        <v>7</v>
      </c>
    </row>
    <row r="20" spans="1:7" x14ac:dyDescent="0.3">
      <c r="A20" s="16" t="s">
        <v>251</v>
      </c>
      <c r="B20" s="16" t="s">
        <v>193</v>
      </c>
      <c r="C20" s="16" t="s">
        <v>78</v>
      </c>
      <c r="D20" s="16">
        <v>2298</v>
      </c>
      <c r="F20" s="43" t="s">
        <v>161</v>
      </c>
      <c r="G20">
        <v>60</v>
      </c>
    </row>
    <row r="21" spans="1:7" x14ac:dyDescent="0.3">
      <c r="A21" s="16" t="s">
        <v>252</v>
      </c>
      <c r="B21" s="16" t="s">
        <v>194</v>
      </c>
      <c r="C21" s="16" t="s">
        <v>78</v>
      </c>
      <c r="D21" s="16">
        <v>1134</v>
      </c>
    </row>
    <row r="22" spans="1:7" x14ac:dyDescent="0.3">
      <c r="A22" s="16" t="s">
        <v>253</v>
      </c>
      <c r="B22" s="16" t="s">
        <v>195</v>
      </c>
      <c r="C22" s="16" t="s">
        <v>300</v>
      </c>
      <c r="D22" s="16">
        <v>1262</v>
      </c>
    </row>
    <row r="23" spans="1:7" x14ac:dyDescent="0.3">
      <c r="A23" s="16" t="s">
        <v>254</v>
      </c>
      <c r="B23" s="16" t="s">
        <v>196</v>
      </c>
      <c r="C23" s="16" t="s">
        <v>301</v>
      </c>
      <c r="D23" s="16">
        <v>3489</v>
      </c>
    </row>
    <row r="24" spans="1:7" x14ac:dyDescent="0.3">
      <c r="A24" s="16" t="s">
        <v>255</v>
      </c>
      <c r="B24" s="16" t="s">
        <v>197</v>
      </c>
      <c r="C24" s="16" t="s">
        <v>78</v>
      </c>
      <c r="D24" s="16">
        <v>3460</v>
      </c>
    </row>
    <row r="25" spans="1:7" x14ac:dyDescent="0.3">
      <c r="A25" s="16" t="s">
        <v>256</v>
      </c>
      <c r="B25" s="16" t="s">
        <v>198</v>
      </c>
      <c r="C25" s="16" t="s">
        <v>78</v>
      </c>
      <c r="D25" s="16">
        <v>1076</v>
      </c>
    </row>
    <row r="26" spans="1:7" x14ac:dyDescent="0.3">
      <c r="A26" s="16" t="s">
        <v>257</v>
      </c>
      <c r="B26" s="16" t="s">
        <v>199</v>
      </c>
      <c r="C26" s="16" t="s">
        <v>300</v>
      </c>
      <c r="D26" s="16">
        <v>104</v>
      </c>
    </row>
    <row r="27" spans="1:7" x14ac:dyDescent="0.3">
      <c r="A27" s="16" t="s">
        <v>258</v>
      </c>
      <c r="B27" s="16" t="s">
        <v>200</v>
      </c>
      <c r="C27" s="16" t="s">
        <v>302</v>
      </c>
      <c r="D27" s="16">
        <v>180</v>
      </c>
    </row>
    <row r="28" spans="1:7" x14ac:dyDescent="0.3">
      <c r="A28" s="16" t="s">
        <v>259</v>
      </c>
      <c r="B28" s="16" t="s">
        <v>201</v>
      </c>
      <c r="C28" s="16" t="s">
        <v>300</v>
      </c>
      <c r="D28" s="16">
        <v>1873</v>
      </c>
    </row>
    <row r="29" spans="1:7" x14ac:dyDescent="0.3">
      <c r="A29" s="16" t="s">
        <v>260</v>
      </c>
      <c r="B29" s="16" t="s">
        <v>202</v>
      </c>
      <c r="C29" s="16" t="s">
        <v>303</v>
      </c>
      <c r="D29" s="16">
        <v>2348</v>
      </c>
    </row>
    <row r="30" spans="1:7" x14ac:dyDescent="0.3">
      <c r="A30" s="16" t="s">
        <v>261</v>
      </c>
      <c r="B30" s="16" t="s">
        <v>203</v>
      </c>
      <c r="C30" s="16" t="s">
        <v>78</v>
      </c>
      <c r="D30" s="16">
        <v>1370</v>
      </c>
    </row>
    <row r="31" spans="1:7" x14ac:dyDescent="0.3">
      <c r="A31" s="16" t="s">
        <v>262</v>
      </c>
      <c r="B31" s="16" t="s">
        <v>204</v>
      </c>
      <c r="C31" s="16" t="s">
        <v>303</v>
      </c>
      <c r="D31" s="16">
        <v>1764</v>
      </c>
    </row>
    <row r="32" spans="1:7" x14ac:dyDescent="0.3">
      <c r="A32" s="16" t="s">
        <v>263</v>
      </c>
      <c r="B32" s="16" t="s">
        <v>205</v>
      </c>
      <c r="C32" s="16" t="s">
        <v>78</v>
      </c>
      <c r="D32" s="16">
        <v>3318</v>
      </c>
    </row>
    <row r="33" spans="1:4" x14ac:dyDescent="0.3">
      <c r="A33" s="16" t="s">
        <v>264</v>
      </c>
      <c r="B33" s="16" t="s">
        <v>206</v>
      </c>
      <c r="C33" s="16" t="s">
        <v>300</v>
      </c>
      <c r="D33" s="16">
        <v>1725</v>
      </c>
    </row>
    <row r="34" spans="1:4" x14ac:dyDescent="0.3">
      <c r="A34" s="16" t="s">
        <v>265</v>
      </c>
      <c r="B34" s="16" t="s">
        <v>207</v>
      </c>
      <c r="C34" s="16" t="s">
        <v>301</v>
      </c>
      <c r="D34" s="16">
        <v>2844</v>
      </c>
    </row>
    <row r="35" spans="1:4" x14ac:dyDescent="0.3">
      <c r="A35" s="16" t="s">
        <v>266</v>
      </c>
      <c r="B35" s="16" t="s">
        <v>208</v>
      </c>
      <c r="C35" s="16" t="s">
        <v>302</v>
      </c>
      <c r="D35" s="16">
        <v>2252</v>
      </c>
    </row>
    <row r="36" spans="1:4" x14ac:dyDescent="0.3">
      <c r="A36" s="16" t="s">
        <v>267</v>
      </c>
      <c r="B36" s="16" t="s">
        <v>209</v>
      </c>
      <c r="C36" s="16" t="s">
        <v>302</v>
      </c>
      <c r="D36" s="16">
        <v>2898</v>
      </c>
    </row>
    <row r="37" spans="1:4" x14ac:dyDescent="0.3">
      <c r="A37" s="16" t="s">
        <v>268</v>
      </c>
      <c r="B37" s="16" t="s">
        <v>210</v>
      </c>
      <c r="C37" s="16" t="s">
        <v>303</v>
      </c>
      <c r="D37" s="16">
        <v>2240</v>
      </c>
    </row>
    <row r="38" spans="1:4" x14ac:dyDescent="0.3">
      <c r="A38" s="16" t="s">
        <v>269</v>
      </c>
      <c r="B38" s="16" t="s">
        <v>211</v>
      </c>
      <c r="C38" s="16" t="s">
        <v>300</v>
      </c>
      <c r="D38" s="16">
        <v>297</v>
      </c>
    </row>
    <row r="39" spans="1:4" x14ac:dyDescent="0.3">
      <c r="A39" s="16" t="s">
        <v>270</v>
      </c>
      <c r="B39" s="16" t="s">
        <v>212</v>
      </c>
      <c r="C39" s="16" t="s">
        <v>301</v>
      </c>
      <c r="D39" s="16">
        <v>2928</v>
      </c>
    </row>
    <row r="40" spans="1:4" x14ac:dyDescent="0.3">
      <c r="A40" s="16" t="s">
        <v>271</v>
      </c>
      <c r="B40" s="16" t="s">
        <v>213</v>
      </c>
      <c r="C40" s="16" t="s">
        <v>301</v>
      </c>
      <c r="D40" s="16">
        <v>2686</v>
      </c>
    </row>
    <row r="41" spans="1:4" x14ac:dyDescent="0.3">
      <c r="A41" s="16" t="s">
        <v>272</v>
      </c>
      <c r="B41" s="16" t="s">
        <v>214</v>
      </c>
      <c r="C41" s="16" t="s">
        <v>302</v>
      </c>
      <c r="D41" s="16">
        <v>2160</v>
      </c>
    </row>
    <row r="42" spans="1:4" x14ac:dyDescent="0.3">
      <c r="A42" s="16" t="s">
        <v>273</v>
      </c>
      <c r="B42" s="16" t="s">
        <v>215</v>
      </c>
      <c r="C42" s="16" t="s">
        <v>78</v>
      </c>
      <c r="D42" s="16">
        <v>3493</v>
      </c>
    </row>
    <row r="43" spans="1:4" x14ac:dyDescent="0.3">
      <c r="A43" s="16" t="s">
        <v>274</v>
      </c>
      <c r="B43" s="16" t="s">
        <v>216</v>
      </c>
      <c r="C43" s="16" t="s">
        <v>300</v>
      </c>
      <c r="D43" s="16">
        <v>2891</v>
      </c>
    </row>
    <row r="44" spans="1:4" x14ac:dyDescent="0.3">
      <c r="A44" s="16" t="s">
        <v>275</v>
      </c>
      <c r="B44" s="16" t="s">
        <v>298</v>
      </c>
      <c r="C44" s="16" t="s">
        <v>301</v>
      </c>
      <c r="D44" s="16">
        <v>388</v>
      </c>
    </row>
    <row r="45" spans="1:4" x14ac:dyDescent="0.3">
      <c r="A45" s="16" t="s">
        <v>276</v>
      </c>
      <c r="B45" s="16" t="s">
        <v>217</v>
      </c>
      <c r="C45" s="16" t="s">
        <v>303</v>
      </c>
      <c r="D45" s="16">
        <v>264</v>
      </c>
    </row>
    <row r="46" spans="1:4" x14ac:dyDescent="0.3">
      <c r="A46" s="16" t="s">
        <v>277</v>
      </c>
      <c r="B46" s="16" t="s">
        <v>218</v>
      </c>
      <c r="C46" s="16" t="s">
        <v>78</v>
      </c>
      <c r="D46" s="16">
        <v>2803</v>
      </c>
    </row>
    <row r="47" spans="1:4" x14ac:dyDescent="0.3">
      <c r="A47" s="16" t="s">
        <v>278</v>
      </c>
      <c r="B47" s="16" t="s">
        <v>297</v>
      </c>
      <c r="C47" s="16" t="s">
        <v>300</v>
      </c>
      <c r="D47" s="16">
        <v>472</v>
      </c>
    </row>
    <row r="48" spans="1:4" x14ac:dyDescent="0.3">
      <c r="A48" s="16" t="s">
        <v>279</v>
      </c>
      <c r="B48" s="16" t="s">
        <v>219</v>
      </c>
      <c r="C48" s="16" t="s">
        <v>302</v>
      </c>
      <c r="D48" s="16">
        <v>1300</v>
      </c>
    </row>
    <row r="49" spans="1:4" x14ac:dyDescent="0.3">
      <c r="A49" s="16" t="s">
        <v>280</v>
      </c>
      <c r="B49" s="16" t="s">
        <v>220</v>
      </c>
      <c r="C49" s="16" t="s">
        <v>303</v>
      </c>
      <c r="D49" s="16">
        <v>3531</v>
      </c>
    </row>
    <row r="50" spans="1:4" x14ac:dyDescent="0.3">
      <c r="A50" s="16" t="s">
        <v>281</v>
      </c>
      <c r="B50" s="16" t="s">
        <v>221</v>
      </c>
      <c r="C50" s="16" t="s">
        <v>301</v>
      </c>
      <c r="D50" s="16">
        <v>2001</v>
      </c>
    </row>
    <row r="51" spans="1:4" x14ac:dyDescent="0.3">
      <c r="A51" s="16" t="s">
        <v>282</v>
      </c>
      <c r="B51" s="16" t="s">
        <v>222</v>
      </c>
      <c r="C51" s="16" t="s">
        <v>302</v>
      </c>
      <c r="D51" s="16">
        <v>340</v>
      </c>
    </row>
    <row r="52" spans="1:4" x14ac:dyDescent="0.3">
      <c r="A52" s="16" t="s">
        <v>283</v>
      </c>
      <c r="B52" s="16" t="s">
        <v>223</v>
      </c>
      <c r="C52" s="16" t="s">
        <v>301</v>
      </c>
      <c r="D52" s="16">
        <v>1884</v>
      </c>
    </row>
    <row r="53" spans="1:4" x14ac:dyDescent="0.3">
      <c r="A53" s="16" t="s">
        <v>284</v>
      </c>
      <c r="B53" s="16" t="s">
        <v>224</v>
      </c>
      <c r="C53" s="16" t="s">
        <v>303</v>
      </c>
      <c r="D53" s="16">
        <v>1964</v>
      </c>
    </row>
    <row r="54" spans="1:4" x14ac:dyDescent="0.3">
      <c r="A54" s="16" t="s">
        <v>285</v>
      </c>
      <c r="B54" s="16" t="s">
        <v>225</v>
      </c>
      <c r="C54" s="16" t="s">
        <v>302</v>
      </c>
      <c r="D54" s="16">
        <v>1224</v>
      </c>
    </row>
    <row r="55" spans="1:4" x14ac:dyDescent="0.3">
      <c r="A55" s="16" t="s">
        <v>286</v>
      </c>
      <c r="B55" s="16" t="s">
        <v>226</v>
      </c>
      <c r="C55" s="16" t="s">
        <v>303</v>
      </c>
      <c r="D55" s="16">
        <v>3222</v>
      </c>
    </row>
    <row r="56" spans="1:4" x14ac:dyDescent="0.3">
      <c r="A56" s="16" t="s">
        <v>287</v>
      </c>
      <c r="B56" s="16" t="s">
        <v>227</v>
      </c>
      <c r="C56" s="16" t="s">
        <v>303</v>
      </c>
      <c r="D56" s="16">
        <v>1355</v>
      </c>
    </row>
    <row r="57" spans="1:4" x14ac:dyDescent="0.3">
      <c r="A57" s="16" t="s">
        <v>288</v>
      </c>
      <c r="B57" s="16" t="s">
        <v>228</v>
      </c>
      <c r="C57" s="16" t="s">
        <v>303</v>
      </c>
      <c r="D57" s="16">
        <v>2726</v>
      </c>
    </row>
    <row r="58" spans="1:4" x14ac:dyDescent="0.3">
      <c r="A58" s="16" t="s">
        <v>289</v>
      </c>
      <c r="B58" s="16" t="s">
        <v>229</v>
      </c>
      <c r="C58" s="16" t="s">
        <v>78</v>
      </c>
      <c r="D58" s="16">
        <v>278</v>
      </c>
    </row>
    <row r="59" spans="1:4" x14ac:dyDescent="0.3">
      <c r="A59" s="16" t="s">
        <v>290</v>
      </c>
      <c r="B59" s="16" t="s">
        <v>230</v>
      </c>
      <c r="C59" s="16" t="s">
        <v>303</v>
      </c>
      <c r="D59" s="16">
        <v>2603</v>
      </c>
    </row>
    <row r="60" spans="1:4" x14ac:dyDescent="0.3">
      <c r="A60" s="16" t="s">
        <v>291</v>
      </c>
      <c r="B60" s="16" t="s">
        <v>231</v>
      </c>
      <c r="C60" s="16" t="s">
        <v>300</v>
      </c>
      <c r="D60" s="16">
        <v>1463</v>
      </c>
    </row>
    <row r="61" spans="1:4" x14ac:dyDescent="0.3">
      <c r="A61" s="16" t="s">
        <v>292</v>
      </c>
      <c r="B61" s="16" t="s">
        <v>232</v>
      </c>
      <c r="C61" s="16" t="s">
        <v>78</v>
      </c>
      <c r="D61" s="16">
        <v>1922</v>
      </c>
    </row>
    <row r="62" spans="1:4" x14ac:dyDescent="0.3">
      <c r="A62" s="16" t="s">
        <v>293</v>
      </c>
      <c r="B62" s="16" t="s">
        <v>233</v>
      </c>
      <c r="C62" s="16" t="s">
        <v>302</v>
      </c>
      <c r="D62" s="16">
        <v>1870</v>
      </c>
    </row>
    <row r="63" spans="1:4" x14ac:dyDescent="0.3">
      <c r="A63" s="16" t="s">
        <v>294</v>
      </c>
      <c r="B63" s="16" t="s">
        <v>234</v>
      </c>
      <c r="C63" s="16" t="s">
        <v>301</v>
      </c>
      <c r="D63" s="16">
        <v>2617</v>
      </c>
    </row>
    <row r="64" spans="1:4" x14ac:dyDescent="0.3">
      <c r="A64" s="16" t="s">
        <v>295</v>
      </c>
      <c r="B64" s="16" t="s">
        <v>235</v>
      </c>
      <c r="C64" s="16" t="s">
        <v>301</v>
      </c>
      <c r="D64" s="16">
        <v>3467</v>
      </c>
    </row>
  </sheetData>
  <hyperlinks>
    <hyperlink ref="A1" location="Topics!B11" display="Home" xr:uid="{00000000-0004-0000-1200-000000000000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0000FF"/>
  </sheetPr>
  <dimension ref="A1:G64"/>
  <sheetViews>
    <sheetView workbookViewId="0">
      <selection activeCell="F16" sqref="F16"/>
    </sheetView>
  </sheetViews>
  <sheetFormatPr defaultRowHeight="14.4" x14ac:dyDescent="0.3"/>
  <cols>
    <col min="1" max="1" width="19.88671875" customWidth="1"/>
    <col min="2" max="2" width="21.33203125" customWidth="1"/>
    <col min="3" max="3" width="18.33203125" customWidth="1"/>
    <col min="4" max="4" width="13.5546875" customWidth="1"/>
    <col min="6" max="6" width="24.33203125" customWidth="1"/>
    <col min="7" max="7" width="30.33203125" customWidth="1"/>
    <col min="8" max="8" width="5" customWidth="1"/>
    <col min="9" max="9" width="8.44140625" customWidth="1"/>
    <col min="10" max="10" width="6.33203125" customWidth="1"/>
  </cols>
  <sheetData>
    <row r="1" spans="1:7" x14ac:dyDescent="0.3">
      <c r="A1" s="13" t="s">
        <v>35</v>
      </c>
      <c r="D1" t="s">
        <v>322</v>
      </c>
    </row>
    <row r="2" spans="1:7" ht="18" x14ac:dyDescent="0.35">
      <c r="A2" s="27" t="str">
        <f ca="1">"Topic: "&amp;INDEX(Topics!$A$12:$A$42,MATCH(REPLACE(CELL("filename",A1),1,SEARCH("]",CELL("filename",A1)),""),Topics!$C$12:$C$42,0))</f>
        <v>Topic: Filter in a Pivot Table</v>
      </c>
    </row>
    <row r="4" spans="1:7" ht="28.8" x14ac:dyDescent="0.3">
      <c r="A4" s="21" t="s">
        <v>178</v>
      </c>
      <c r="B4" s="21" t="s">
        <v>37</v>
      </c>
      <c r="C4" s="21" t="s">
        <v>299</v>
      </c>
      <c r="D4" s="23" t="s">
        <v>309</v>
      </c>
      <c r="F4" s="26" t="s">
        <v>309</v>
      </c>
      <c r="G4" t="s">
        <v>321</v>
      </c>
    </row>
    <row r="5" spans="1:7" x14ac:dyDescent="0.3">
      <c r="A5" s="16" t="s">
        <v>236</v>
      </c>
      <c r="B5" s="16" t="s">
        <v>179</v>
      </c>
      <c r="C5" s="16" t="s">
        <v>78</v>
      </c>
      <c r="D5" s="16">
        <v>3063</v>
      </c>
      <c r="F5" t="s">
        <v>314</v>
      </c>
      <c r="G5">
        <v>9</v>
      </c>
    </row>
    <row r="6" spans="1:7" x14ac:dyDescent="0.3">
      <c r="A6" s="16" t="s">
        <v>237</v>
      </c>
      <c r="B6" s="16" t="s">
        <v>180</v>
      </c>
      <c r="C6" s="16" t="s">
        <v>78</v>
      </c>
      <c r="D6" s="16">
        <v>274</v>
      </c>
      <c r="F6" t="s">
        <v>315</v>
      </c>
      <c r="G6">
        <v>1</v>
      </c>
    </row>
    <row r="7" spans="1:7" x14ac:dyDescent="0.3">
      <c r="A7" s="16" t="s">
        <v>238</v>
      </c>
      <c r="B7" s="16" t="s">
        <v>181</v>
      </c>
      <c r="C7" s="16" t="s">
        <v>300</v>
      </c>
      <c r="D7" s="16">
        <v>1621</v>
      </c>
      <c r="F7" t="s">
        <v>316</v>
      </c>
      <c r="G7">
        <v>9</v>
      </c>
    </row>
    <row r="8" spans="1:7" x14ac:dyDescent="0.3">
      <c r="A8" s="16" t="s">
        <v>239</v>
      </c>
      <c r="B8" s="16" t="s">
        <v>182</v>
      </c>
      <c r="C8" s="16" t="s">
        <v>301</v>
      </c>
      <c r="D8" s="16">
        <v>2034</v>
      </c>
      <c r="F8" t="s">
        <v>317</v>
      </c>
      <c r="G8">
        <v>15</v>
      </c>
    </row>
    <row r="9" spans="1:7" x14ac:dyDescent="0.3">
      <c r="A9" s="16" t="s">
        <v>240</v>
      </c>
      <c r="B9" s="16" t="s">
        <v>183</v>
      </c>
      <c r="C9" s="16" t="s">
        <v>300</v>
      </c>
      <c r="D9" s="16">
        <v>1219</v>
      </c>
      <c r="F9" t="s">
        <v>318</v>
      </c>
      <c r="G9">
        <v>6</v>
      </c>
    </row>
    <row r="10" spans="1:7" x14ac:dyDescent="0.3">
      <c r="A10" s="16" t="s">
        <v>241</v>
      </c>
      <c r="B10" s="16" t="s">
        <v>184</v>
      </c>
      <c r="C10" s="16" t="s">
        <v>301</v>
      </c>
      <c r="D10" s="16">
        <v>1817</v>
      </c>
      <c r="F10" t="s">
        <v>319</v>
      </c>
      <c r="G10">
        <v>13</v>
      </c>
    </row>
    <row r="11" spans="1:7" x14ac:dyDescent="0.3">
      <c r="A11" s="16" t="s">
        <v>242</v>
      </c>
      <c r="B11" s="16" t="s">
        <v>185</v>
      </c>
      <c r="C11" s="16" t="s">
        <v>300</v>
      </c>
      <c r="D11" s="16">
        <v>2998</v>
      </c>
      <c r="F11" t="s">
        <v>320</v>
      </c>
      <c r="G11">
        <v>7</v>
      </c>
    </row>
    <row r="12" spans="1:7" x14ac:dyDescent="0.3">
      <c r="A12" s="16" t="s">
        <v>243</v>
      </c>
      <c r="B12" s="16" t="s">
        <v>186</v>
      </c>
      <c r="C12" s="16" t="s">
        <v>78</v>
      </c>
      <c r="D12" s="16">
        <v>1944</v>
      </c>
      <c r="F12" t="s">
        <v>161</v>
      </c>
      <c r="G12">
        <v>60</v>
      </c>
    </row>
    <row r="13" spans="1:7" x14ac:dyDescent="0.3">
      <c r="A13" s="16" t="s">
        <v>244</v>
      </c>
      <c r="B13" s="16" t="s">
        <v>187</v>
      </c>
      <c r="C13" s="16" t="s">
        <v>303</v>
      </c>
      <c r="D13" s="16">
        <v>1976</v>
      </c>
    </row>
    <row r="14" spans="1:7" x14ac:dyDescent="0.3">
      <c r="A14" s="16" t="s">
        <v>245</v>
      </c>
      <c r="B14" s="16" t="s">
        <v>188</v>
      </c>
      <c r="C14" s="16" t="s">
        <v>303</v>
      </c>
      <c r="D14" s="16">
        <v>1396</v>
      </c>
    </row>
    <row r="15" spans="1:7" x14ac:dyDescent="0.3">
      <c r="A15" s="16" t="s">
        <v>246</v>
      </c>
      <c r="B15" s="16" t="s">
        <v>189</v>
      </c>
      <c r="C15" s="16" t="s">
        <v>300</v>
      </c>
      <c r="D15" s="16">
        <v>2171</v>
      </c>
    </row>
    <row r="16" spans="1:7" x14ac:dyDescent="0.3">
      <c r="A16" s="16" t="s">
        <v>247</v>
      </c>
      <c r="B16" s="16" t="s">
        <v>296</v>
      </c>
      <c r="C16" s="16" t="s">
        <v>303</v>
      </c>
      <c r="D16" s="16">
        <v>2050</v>
      </c>
    </row>
    <row r="17" spans="1:4" x14ac:dyDescent="0.3">
      <c r="A17" s="16" t="s">
        <v>248</v>
      </c>
      <c r="B17" s="16" t="s">
        <v>190</v>
      </c>
      <c r="C17" s="16" t="s">
        <v>303</v>
      </c>
      <c r="D17" s="16">
        <v>2739</v>
      </c>
    </row>
    <row r="18" spans="1:4" x14ac:dyDescent="0.3">
      <c r="A18" s="16" t="s">
        <v>249</v>
      </c>
      <c r="B18" s="16" t="s">
        <v>191</v>
      </c>
      <c r="C18" s="16" t="s">
        <v>302</v>
      </c>
      <c r="D18" s="16">
        <v>1877</v>
      </c>
    </row>
    <row r="19" spans="1:4" x14ac:dyDescent="0.3">
      <c r="A19" s="16" t="s">
        <v>250</v>
      </c>
      <c r="B19" s="16" t="s">
        <v>192</v>
      </c>
      <c r="C19" s="16" t="s">
        <v>301</v>
      </c>
      <c r="D19" s="16">
        <v>2896</v>
      </c>
    </row>
    <row r="20" spans="1:4" x14ac:dyDescent="0.3">
      <c r="A20" s="16" t="s">
        <v>251</v>
      </c>
      <c r="B20" s="16" t="s">
        <v>193</v>
      </c>
      <c r="C20" s="16" t="s">
        <v>78</v>
      </c>
      <c r="D20" s="16">
        <v>2298</v>
      </c>
    </row>
    <row r="21" spans="1:4" x14ac:dyDescent="0.3">
      <c r="A21" s="16" t="s">
        <v>252</v>
      </c>
      <c r="B21" s="16" t="s">
        <v>194</v>
      </c>
      <c r="C21" s="16" t="s">
        <v>78</v>
      </c>
      <c r="D21" s="16">
        <v>1134</v>
      </c>
    </row>
    <row r="22" spans="1:4" x14ac:dyDescent="0.3">
      <c r="A22" s="16" t="s">
        <v>253</v>
      </c>
      <c r="B22" s="16" t="s">
        <v>195</v>
      </c>
      <c r="C22" s="16" t="s">
        <v>300</v>
      </c>
      <c r="D22" s="16">
        <v>1262</v>
      </c>
    </row>
    <row r="23" spans="1:4" x14ac:dyDescent="0.3">
      <c r="A23" s="16" t="s">
        <v>254</v>
      </c>
      <c r="B23" s="16" t="s">
        <v>196</v>
      </c>
      <c r="C23" s="16" t="s">
        <v>301</v>
      </c>
      <c r="D23" s="16">
        <v>3489</v>
      </c>
    </row>
    <row r="24" spans="1:4" x14ac:dyDescent="0.3">
      <c r="A24" s="16" t="s">
        <v>255</v>
      </c>
      <c r="B24" s="16" t="s">
        <v>197</v>
      </c>
      <c r="C24" s="16" t="s">
        <v>78</v>
      </c>
      <c r="D24" s="16">
        <v>3460</v>
      </c>
    </row>
    <row r="25" spans="1:4" x14ac:dyDescent="0.3">
      <c r="A25" s="16" t="s">
        <v>256</v>
      </c>
      <c r="B25" s="16" t="s">
        <v>198</v>
      </c>
      <c r="C25" s="16" t="s">
        <v>78</v>
      </c>
      <c r="D25" s="16">
        <v>1076</v>
      </c>
    </row>
    <row r="26" spans="1:4" x14ac:dyDescent="0.3">
      <c r="A26" s="16" t="s">
        <v>257</v>
      </c>
      <c r="B26" s="16" t="s">
        <v>199</v>
      </c>
      <c r="C26" s="16" t="s">
        <v>300</v>
      </c>
      <c r="D26" s="16">
        <v>104</v>
      </c>
    </row>
    <row r="27" spans="1:4" x14ac:dyDescent="0.3">
      <c r="A27" s="16" t="s">
        <v>258</v>
      </c>
      <c r="B27" s="16" t="s">
        <v>200</v>
      </c>
      <c r="C27" s="16" t="s">
        <v>302</v>
      </c>
      <c r="D27" s="16">
        <v>180</v>
      </c>
    </row>
    <row r="28" spans="1:4" x14ac:dyDescent="0.3">
      <c r="A28" s="16" t="s">
        <v>259</v>
      </c>
      <c r="B28" s="16" t="s">
        <v>201</v>
      </c>
      <c r="C28" s="16" t="s">
        <v>300</v>
      </c>
      <c r="D28" s="16">
        <v>1873</v>
      </c>
    </row>
    <row r="29" spans="1:4" x14ac:dyDescent="0.3">
      <c r="A29" s="16" t="s">
        <v>260</v>
      </c>
      <c r="B29" s="16" t="s">
        <v>202</v>
      </c>
      <c r="C29" s="16" t="s">
        <v>303</v>
      </c>
      <c r="D29" s="16">
        <v>2348</v>
      </c>
    </row>
    <row r="30" spans="1:4" x14ac:dyDescent="0.3">
      <c r="A30" s="16" t="s">
        <v>261</v>
      </c>
      <c r="B30" s="16" t="s">
        <v>203</v>
      </c>
      <c r="C30" s="16" t="s">
        <v>78</v>
      </c>
      <c r="D30" s="16">
        <v>1370</v>
      </c>
    </row>
    <row r="31" spans="1:4" x14ac:dyDescent="0.3">
      <c r="A31" s="16" t="s">
        <v>262</v>
      </c>
      <c r="B31" s="16" t="s">
        <v>204</v>
      </c>
      <c r="C31" s="16" t="s">
        <v>303</v>
      </c>
      <c r="D31" s="16">
        <v>1764</v>
      </c>
    </row>
    <row r="32" spans="1:4" x14ac:dyDescent="0.3">
      <c r="A32" s="16" t="s">
        <v>263</v>
      </c>
      <c r="B32" s="16" t="s">
        <v>205</v>
      </c>
      <c r="C32" s="16" t="s">
        <v>78</v>
      </c>
      <c r="D32" s="16">
        <v>3318</v>
      </c>
    </row>
    <row r="33" spans="1:4" x14ac:dyDescent="0.3">
      <c r="A33" s="16" t="s">
        <v>264</v>
      </c>
      <c r="B33" s="16" t="s">
        <v>206</v>
      </c>
      <c r="C33" s="16" t="s">
        <v>300</v>
      </c>
      <c r="D33" s="16">
        <v>1725</v>
      </c>
    </row>
    <row r="34" spans="1:4" x14ac:dyDescent="0.3">
      <c r="A34" s="16" t="s">
        <v>265</v>
      </c>
      <c r="B34" s="16" t="s">
        <v>207</v>
      </c>
      <c r="C34" s="16" t="s">
        <v>301</v>
      </c>
      <c r="D34" s="16">
        <v>2844</v>
      </c>
    </row>
    <row r="35" spans="1:4" x14ac:dyDescent="0.3">
      <c r="A35" s="16" t="s">
        <v>266</v>
      </c>
      <c r="B35" s="16" t="s">
        <v>208</v>
      </c>
      <c r="C35" s="16" t="s">
        <v>302</v>
      </c>
      <c r="D35" s="16">
        <v>2252</v>
      </c>
    </row>
    <row r="36" spans="1:4" x14ac:dyDescent="0.3">
      <c r="A36" s="16" t="s">
        <v>267</v>
      </c>
      <c r="B36" s="16" t="s">
        <v>209</v>
      </c>
      <c r="C36" s="16" t="s">
        <v>302</v>
      </c>
      <c r="D36" s="16">
        <v>2898</v>
      </c>
    </row>
    <row r="37" spans="1:4" x14ac:dyDescent="0.3">
      <c r="A37" s="16" t="s">
        <v>268</v>
      </c>
      <c r="B37" s="16" t="s">
        <v>210</v>
      </c>
      <c r="C37" s="16" t="s">
        <v>303</v>
      </c>
      <c r="D37" s="16">
        <v>2240</v>
      </c>
    </row>
    <row r="38" spans="1:4" x14ac:dyDescent="0.3">
      <c r="A38" s="16" t="s">
        <v>269</v>
      </c>
      <c r="B38" s="16" t="s">
        <v>211</v>
      </c>
      <c r="C38" s="16" t="s">
        <v>300</v>
      </c>
      <c r="D38" s="16">
        <v>297</v>
      </c>
    </row>
    <row r="39" spans="1:4" x14ac:dyDescent="0.3">
      <c r="A39" s="16" t="s">
        <v>270</v>
      </c>
      <c r="B39" s="16" t="s">
        <v>212</v>
      </c>
      <c r="C39" s="16" t="s">
        <v>301</v>
      </c>
      <c r="D39" s="16">
        <v>2928</v>
      </c>
    </row>
    <row r="40" spans="1:4" x14ac:dyDescent="0.3">
      <c r="A40" s="16" t="s">
        <v>271</v>
      </c>
      <c r="B40" s="16" t="s">
        <v>213</v>
      </c>
      <c r="C40" s="16" t="s">
        <v>301</v>
      </c>
      <c r="D40" s="16">
        <v>2686</v>
      </c>
    </row>
    <row r="41" spans="1:4" x14ac:dyDescent="0.3">
      <c r="A41" s="16" t="s">
        <v>272</v>
      </c>
      <c r="B41" s="16" t="s">
        <v>214</v>
      </c>
      <c r="C41" s="16" t="s">
        <v>302</v>
      </c>
      <c r="D41" s="16">
        <v>2160</v>
      </c>
    </row>
    <row r="42" spans="1:4" x14ac:dyDescent="0.3">
      <c r="A42" s="16" t="s">
        <v>273</v>
      </c>
      <c r="B42" s="16" t="s">
        <v>215</v>
      </c>
      <c r="C42" s="16" t="s">
        <v>78</v>
      </c>
      <c r="D42" s="16">
        <v>3493</v>
      </c>
    </row>
    <row r="43" spans="1:4" x14ac:dyDescent="0.3">
      <c r="A43" s="16" t="s">
        <v>274</v>
      </c>
      <c r="B43" s="16" t="s">
        <v>216</v>
      </c>
      <c r="C43" s="16" t="s">
        <v>300</v>
      </c>
      <c r="D43" s="16">
        <v>2891</v>
      </c>
    </row>
    <row r="44" spans="1:4" x14ac:dyDescent="0.3">
      <c r="A44" s="16" t="s">
        <v>275</v>
      </c>
      <c r="B44" s="16" t="s">
        <v>298</v>
      </c>
      <c r="C44" s="16" t="s">
        <v>301</v>
      </c>
      <c r="D44" s="16">
        <v>388</v>
      </c>
    </row>
    <row r="45" spans="1:4" x14ac:dyDescent="0.3">
      <c r="A45" s="16" t="s">
        <v>276</v>
      </c>
      <c r="B45" s="16" t="s">
        <v>217</v>
      </c>
      <c r="C45" s="16" t="s">
        <v>303</v>
      </c>
      <c r="D45" s="16">
        <v>264</v>
      </c>
    </row>
    <row r="46" spans="1:4" x14ac:dyDescent="0.3">
      <c r="A46" s="16" t="s">
        <v>277</v>
      </c>
      <c r="B46" s="16" t="s">
        <v>218</v>
      </c>
      <c r="C46" s="16" t="s">
        <v>78</v>
      </c>
      <c r="D46" s="16">
        <v>2803</v>
      </c>
    </row>
    <row r="47" spans="1:4" x14ac:dyDescent="0.3">
      <c r="A47" s="16" t="s">
        <v>278</v>
      </c>
      <c r="B47" s="16" t="s">
        <v>297</v>
      </c>
      <c r="C47" s="16" t="s">
        <v>300</v>
      </c>
      <c r="D47" s="16">
        <v>472</v>
      </c>
    </row>
    <row r="48" spans="1:4" x14ac:dyDescent="0.3">
      <c r="A48" s="16" t="s">
        <v>279</v>
      </c>
      <c r="B48" s="16" t="s">
        <v>219</v>
      </c>
      <c r="C48" s="16" t="s">
        <v>302</v>
      </c>
      <c r="D48" s="16">
        <v>1300</v>
      </c>
    </row>
    <row r="49" spans="1:4" x14ac:dyDescent="0.3">
      <c r="A49" s="16" t="s">
        <v>280</v>
      </c>
      <c r="B49" s="16" t="s">
        <v>220</v>
      </c>
      <c r="C49" s="16" t="s">
        <v>303</v>
      </c>
      <c r="D49" s="16">
        <v>3531</v>
      </c>
    </row>
    <row r="50" spans="1:4" x14ac:dyDescent="0.3">
      <c r="A50" s="16" t="s">
        <v>281</v>
      </c>
      <c r="B50" s="16" t="s">
        <v>221</v>
      </c>
      <c r="C50" s="16" t="s">
        <v>301</v>
      </c>
      <c r="D50" s="16">
        <v>2001</v>
      </c>
    </row>
    <row r="51" spans="1:4" x14ac:dyDescent="0.3">
      <c r="A51" s="16" t="s">
        <v>282</v>
      </c>
      <c r="B51" s="16" t="s">
        <v>222</v>
      </c>
      <c r="C51" s="16" t="s">
        <v>302</v>
      </c>
      <c r="D51" s="16">
        <v>340</v>
      </c>
    </row>
    <row r="52" spans="1:4" x14ac:dyDescent="0.3">
      <c r="A52" s="16" t="s">
        <v>283</v>
      </c>
      <c r="B52" s="16" t="s">
        <v>223</v>
      </c>
      <c r="C52" s="16" t="s">
        <v>301</v>
      </c>
      <c r="D52" s="16">
        <v>1884</v>
      </c>
    </row>
    <row r="53" spans="1:4" x14ac:dyDescent="0.3">
      <c r="A53" s="16" t="s">
        <v>284</v>
      </c>
      <c r="B53" s="16" t="s">
        <v>224</v>
      </c>
      <c r="C53" s="16" t="s">
        <v>303</v>
      </c>
      <c r="D53" s="16">
        <v>1964</v>
      </c>
    </row>
    <row r="54" spans="1:4" x14ac:dyDescent="0.3">
      <c r="A54" s="16" t="s">
        <v>285</v>
      </c>
      <c r="B54" s="16" t="s">
        <v>225</v>
      </c>
      <c r="C54" s="16" t="s">
        <v>302</v>
      </c>
      <c r="D54" s="16">
        <v>1224</v>
      </c>
    </row>
    <row r="55" spans="1:4" x14ac:dyDescent="0.3">
      <c r="A55" s="16" t="s">
        <v>286</v>
      </c>
      <c r="B55" s="16" t="s">
        <v>226</v>
      </c>
      <c r="C55" s="16" t="s">
        <v>303</v>
      </c>
      <c r="D55" s="16">
        <v>3222</v>
      </c>
    </row>
    <row r="56" spans="1:4" x14ac:dyDescent="0.3">
      <c r="A56" s="16" t="s">
        <v>287</v>
      </c>
      <c r="B56" s="16" t="s">
        <v>227</v>
      </c>
      <c r="C56" s="16" t="s">
        <v>303</v>
      </c>
      <c r="D56" s="16">
        <v>1355</v>
      </c>
    </row>
    <row r="57" spans="1:4" x14ac:dyDescent="0.3">
      <c r="A57" s="16" t="s">
        <v>288</v>
      </c>
      <c r="B57" s="16" t="s">
        <v>228</v>
      </c>
      <c r="C57" s="16" t="s">
        <v>303</v>
      </c>
      <c r="D57" s="16">
        <v>2726</v>
      </c>
    </row>
    <row r="58" spans="1:4" x14ac:dyDescent="0.3">
      <c r="A58" s="16" t="s">
        <v>289</v>
      </c>
      <c r="B58" s="16" t="s">
        <v>229</v>
      </c>
      <c r="C58" s="16" t="s">
        <v>78</v>
      </c>
      <c r="D58" s="16">
        <v>278</v>
      </c>
    </row>
    <row r="59" spans="1:4" x14ac:dyDescent="0.3">
      <c r="A59" s="16" t="s">
        <v>290</v>
      </c>
      <c r="B59" s="16" t="s">
        <v>230</v>
      </c>
      <c r="C59" s="16" t="s">
        <v>303</v>
      </c>
      <c r="D59" s="16">
        <v>2603</v>
      </c>
    </row>
    <row r="60" spans="1:4" x14ac:dyDescent="0.3">
      <c r="A60" s="16" t="s">
        <v>291</v>
      </c>
      <c r="B60" s="16" t="s">
        <v>231</v>
      </c>
      <c r="C60" s="16" t="s">
        <v>300</v>
      </c>
      <c r="D60" s="16">
        <v>1463</v>
      </c>
    </row>
    <row r="61" spans="1:4" x14ac:dyDescent="0.3">
      <c r="A61" s="16" t="s">
        <v>292</v>
      </c>
      <c r="B61" s="16" t="s">
        <v>232</v>
      </c>
      <c r="C61" s="16" t="s">
        <v>78</v>
      </c>
      <c r="D61" s="16">
        <v>1922</v>
      </c>
    </row>
    <row r="62" spans="1:4" x14ac:dyDescent="0.3">
      <c r="A62" s="16" t="s">
        <v>293</v>
      </c>
      <c r="B62" s="16" t="s">
        <v>233</v>
      </c>
      <c r="C62" s="16" t="s">
        <v>302</v>
      </c>
      <c r="D62" s="16">
        <v>1870</v>
      </c>
    </row>
    <row r="63" spans="1:4" x14ac:dyDescent="0.3">
      <c r="A63" s="16" t="s">
        <v>294</v>
      </c>
      <c r="B63" s="16" t="s">
        <v>234</v>
      </c>
      <c r="C63" s="16" t="s">
        <v>301</v>
      </c>
      <c r="D63" s="16">
        <v>2617</v>
      </c>
    </row>
    <row r="64" spans="1:4" x14ac:dyDescent="0.3">
      <c r="A64" s="16" t="s">
        <v>295</v>
      </c>
      <c r="B64" s="16" t="s">
        <v>235</v>
      </c>
      <c r="C64" s="16" t="s">
        <v>301</v>
      </c>
      <c r="D64" s="16">
        <v>3467</v>
      </c>
    </row>
  </sheetData>
  <hyperlinks>
    <hyperlink ref="A1" location="Topics!B11" display="Home" xr:uid="{00000000-0004-0000-1300-000000000000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tabColor rgb="FF0000FF"/>
  </sheetPr>
  <dimension ref="A1:M64"/>
  <sheetViews>
    <sheetView tabSelected="1" zoomScale="85" zoomScaleNormal="85" workbookViewId="0">
      <selection activeCell="B26" sqref="B26"/>
    </sheetView>
  </sheetViews>
  <sheetFormatPr defaultRowHeight="14.4" x14ac:dyDescent="0.3"/>
  <cols>
    <col min="1" max="1" width="19.88671875" customWidth="1"/>
    <col min="2" max="2" width="21.33203125" customWidth="1"/>
    <col min="3" max="3" width="18.33203125" customWidth="1"/>
    <col min="4" max="4" width="13.5546875" customWidth="1"/>
    <col min="6" max="6" width="24.33203125" bestFit="1" customWidth="1"/>
    <col min="7" max="7" width="30.33203125" bestFit="1" customWidth="1"/>
    <col min="13" max="13" width="13" customWidth="1"/>
  </cols>
  <sheetData>
    <row r="1" spans="1:7" x14ac:dyDescent="0.3">
      <c r="A1" s="13" t="s">
        <v>35</v>
      </c>
    </row>
    <row r="2" spans="1:7" ht="18" x14ac:dyDescent="0.35">
      <c r="A2" s="27" t="str">
        <f ca="1">"Topic: "&amp;INDEX(Topics!$A$12:$A$42,MATCH(REPLACE(CELL("filename",A1),1,SEARCH("]",CELL("filename",A1)),""),Topics!$C$12:$C$42,0))</f>
        <v>Topic: Column Charts from Pivot Tables</v>
      </c>
    </row>
    <row r="4" spans="1:7" ht="28.8" x14ac:dyDescent="0.3">
      <c r="A4" s="21" t="s">
        <v>178</v>
      </c>
      <c r="B4" s="21" t="s">
        <v>37</v>
      </c>
      <c r="C4" s="21" t="s">
        <v>299</v>
      </c>
      <c r="D4" s="23" t="s">
        <v>309</v>
      </c>
      <c r="F4" s="26" t="s">
        <v>309</v>
      </c>
      <c r="G4" t="s">
        <v>321</v>
      </c>
    </row>
    <row r="5" spans="1:7" x14ac:dyDescent="0.3">
      <c r="A5" s="16" t="s">
        <v>236</v>
      </c>
      <c r="B5" s="16" t="s">
        <v>179</v>
      </c>
      <c r="C5" s="16" t="s">
        <v>78</v>
      </c>
      <c r="D5" s="16">
        <v>3063</v>
      </c>
      <c r="F5" t="s">
        <v>314</v>
      </c>
      <c r="G5">
        <v>9</v>
      </c>
    </row>
    <row r="6" spans="1:7" x14ac:dyDescent="0.3">
      <c r="A6" s="16" t="s">
        <v>237</v>
      </c>
      <c r="B6" s="16" t="s">
        <v>180</v>
      </c>
      <c r="C6" s="16" t="s">
        <v>78</v>
      </c>
      <c r="D6" s="16">
        <v>274</v>
      </c>
      <c r="F6" t="s">
        <v>315</v>
      </c>
      <c r="G6">
        <v>1</v>
      </c>
    </row>
    <row r="7" spans="1:7" x14ac:dyDescent="0.3">
      <c r="A7" s="16" t="s">
        <v>238</v>
      </c>
      <c r="B7" s="16" t="s">
        <v>181</v>
      </c>
      <c r="C7" s="16" t="s">
        <v>300</v>
      </c>
      <c r="D7" s="16">
        <v>1621</v>
      </c>
      <c r="F7" t="s">
        <v>316</v>
      </c>
      <c r="G7">
        <v>9</v>
      </c>
    </row>
    <row r="8" spans="1:7" x14ac:dyDescent="0.3">
      <c r="A8" s="16" t="s">
        <v>239</v>
      </c>
      <c r="B8" s="16" t="s">
        <v>182</v>
      </c>
      <c r="C8" s="16" t="s">
        <v>301</v>
      </c>
      <c r="D8" s="16">
        <v>2034</v>
      </c>
      <c r="F8" t="s">
        <v>317</v>
      </c>
      <c r="G8">
        <v>15</v>
      </c>
    </row>
    <row r="9" spans="1:7" x14ac:dyDescent="0.3">
      <c r="A9" s="16" t="s">
        <v>240</v>
      </c>
      <c r="B9" s="16" t="s">
        <v>183</v>
      </c>
      <c r="C9" s="16" t="s">
        <v>300</v>
      </c>
      <c r="D9" s="16">
        <v>1219</v>
      </c>
      <c r="F9" t="s">
        <v>318</v>
      </c>
      <c r="G9">
        <v>6</v>
      </c>
    </row>
    <row r="10" spans="1:7" x14ac:dyDescent="0.3">
      <c r="A10" s="16" t="s">
        <v>241</v>
      </c>
      <c r="B10" s="16" t="s">
        <v>184</v>
      </c>
      <c r="C10" s="16" t="s">
        <v>301</v>
      </c>
      <c r="D10" s="16">
        <v>1817</v>
      </c>
      <c r="F10" t="s">
        <v>319</v>
      </c>
      <c r="G10">
        <v>13</v>
      </c>
    </row>
    <row r="11" spans="1:7" x14ac:dyDescent="0.3">
      <c r="A11" s="16" t="s">
        <v>242</v>
      </c>
      <c r="B11" s="16" t="s">
        <v>185</v>
      </c>
      <c r="C11" s="16" t="s">
        <v>300</v>
      </c>
      <c r="D11" s="16">
        <v>2998</v>
      </c>
      <c r="F11" t="s">
        <v>320</v>
      </c>
      <c r="G11">
        <v>7</v>
      </c>
    </row>
    <row r="12" spans="1:7" x14ac:dyDescent="0.3">
      <c r="A12" s="16" t="s">
        <v>243</v>
      </c>
      <c r="B12" s="16" t="s">
        <v>186</v>
      </c>
      <c r="C12" s="16" t="s">
        <v>78</v>
      </c>
      <c r="D12" s="16">
        <v>1944</v>
      </c>
      <c r="F12" t="s">
        <v>161</v>
      </c>
      <c r="G12">
        <v>60</v>
      </c>
    </row>
    <row r="13" spans="1:7" x14ac:dyDescent="0.3">
      <c r="A13" s="16" t="s">
        <v>244</v>
      </c>
      <c r="B13" s="16" t="s">
        <v>187</v>
      </c>
      <c r="C13" s="16" t="s">
        <v>303</v>
      </c>
      <c r="D13" s="16">
        <v>1976</v>
      </c>
    </row>
    <row r="14" spans="1:7" x14ac:dyDescent="0.3">
      <c r="A14" s="16" t="s">
        <v>245</v>
      </c>
      <c r="B14" s="16" t="s">
        <v>188</v>
      </c>
      <c r="C14" s="16" t="s">
        <v>303</v>
      </c>
      <c r="D14" s="16">
        <v>1396</v>
      </c>
    </row>
    <row r="15" spans="1:7" x14ac:dyDescent="0.3">
      <c r="A15" s="16" t="s">
        <v>246</v>
      </c>
      <c r="B15" s="16" t="s">
        <v>189</v>
      </c>
      <c r="C15" s="16" t="s">
        <v>300</v>
      </c>
      <c r="D15" s="16">
        <v>2171</v>
      </c>
    </row>
    <row r="16" spans="1:7" x14ac:dyDescent="0.3">
      <c r="A16" s="16" t="s">
        <v>247</v>
      </c>
      <c r="B16" s="16" t="s">
        <v>296</v>
      </c>
      <c r="C16" s="16" t="s">
        <v>303</v>
      </c>
      <c r="D16" s="16">
        <v>2050</v>
      </c>
    </row>
    <row r="17" spans="1:13" x14ac:dyDescent="0.3">
      <c r="A17" s="16" t="s">
        <v>248</v>
      </c>
      <c r="B17" s="16" t="s">
        <v>190</v>
      </c>
      <c r="C17" s="16" t="s">
        <v>303</v>
      </c>
      <c r="D17" s="16">
        <v>2739</v>
      </c>
    </row>
    <row r="18" spans="1:13" x14ac:dyDescent="0.3">
      <c r="A18" s="16" t="s">
        <v>249</v>
      </c>
      <c r="B18" s="16" t="s">
        <v>191</v>
      </c>
      <c r="C18" s="16" t="s">
        <v>302</v>
      </c>
      <c r="D18" s="16">
        <v>1877</v>
      </c>
    </row>
    <row r="19" spans="1:13" x14ac:dyDescent="0.3">
      <c r="A19" s="16" t="s">
        <v>250</v>
      </c>
      <c r="B19" s="16" t="s">
        <v>192</v>
      </c>
      <c r="C19" s="16" t="s">
        <v>301</v>
      </c>
      <c r="D19" s="16">
        <v>2896</v>
      </c>
    </row>
    <row r="20" spans="1:13" x14ac:dyDescent="0.3">
      <c r="A20" s="16" t="s">
        <v>251</v>
      </c>
      <c r="B20" s="16" t="s">
        <v>193</v>
      </c>
      <c r="C20" s="16" t="s">
        <v>78</v>
      </c>
      <c r="D20" s="16">
        <v>2298</v>
      </c>
      <c r="M20" t="s">
        <v>337</v>
      </c>
    </row>
    <row r="21" spans="1:13" x14ac:dyDescent="0.3">
      <c r="A21" s="16" t="s">
        <v>252</v>
      </c>
      <c r="B21" s="16" t="s">
        <v>194</v>
      </c>
      <c r="C21" s="16" t="s">
        <v>78</v>
      </c>
      <c r="D21" s="16">
        <v>1134</v>
      </c>
    </row>
    <row r="22" spans="1:13" x14ac:dyDescent="0.3">
      <c r="A22" s="16" t="s">
        <v>253</v>
      </c>
      <c r="B22" s="16" t="s">
        <v>195</v>
      </c>
      <c r="C22" s="16" t="s">
        <v>300</v>
      </c>
      <c r="D22" s="16">
        <v>1262</v>
      </c>
      <c r="M22" t="s">
        <v>338</v>
      </c>
    </row>
    <row r="23" spans="1:13" x14ac:dyDescent="0.3">
      <c r="A23" s="16" t="s">
        <v>254</v>
      </c>
      <c r="B23" s="16" t="s">
        <v>196</v>
      </c>
      <c r="C23" s="16" t="s">
        <v>301</v>
      </c>
      <c r="D23" s="16">
        <v>3489</v>
      </c>
      <c r="M23" t="s">
        <v>339</v>
      </c>
    </row>
    <row r="24" spans="1:13" x14ac:dyDescent="0.3">
      <c r="A24" s="16" t="s">
        <v>255</v>
      </c>
      <c r="B24" s="16" t="s">
        <v>197</v>
      </c>
      <c r="C24" s="16" t="s">
        <v>78</v>
      </c>
      <c r="D24" s="16">
        <v>3460</v>
      </c>
    </row>
    <row r="25" spans="1:13" x14ac:dyDescent="0.3">
      <c r="A25" s="16" t="s">
        <v>256</v>
      </c>
      <c r="B25" s="16" t="s">
        <v>198</v>
      </c>
      <c r="C25" s="16" t="s">
        <v>78</v>
      </c>
      <c r="D25" s="16">
        <v>1076</v>
      </c>
    </row>
    <row r="26" spans="1:13" x14ac:dyDescent="0.3">
      <c r="A26" s="16" t="s">
        <v>257</v>
      </c>
      <c r="B26" s="16" t="s">
        <v>199</v>
      </c>
      <c r="C26" s="16" t="s">
        <v>300</v>
      </c>
      <c r="D26" s="16">
        <v>104</v>
      </c>
    </row>
    <row r="27" spans="1:13" x14ac:dyDescent="0.3">
      <c r="A27" s="16" t="s">
        <v>258</v>
      </c>
      <c r="B27" s="16" t="s">
        <v>200</v>
      </c>
      <c r="C27" s="16" t="s">
        <v>302</v>
      </c>
      <c r="D27" s="16">
        <v>180</v>
      </c>
    </row>
    <row r="28" spans="1:13" x14ac:dyDescent="0.3">
      <c r="A28" s="16" t="s">
        <v>259</v>
      </c>
      <c r="B28" s="16" t="s">
        <v>201</v>
      </c>
      <c r="C28" s="16" t="s">
        <v>300</v>
      </c>
      <c r="D28" s="16">
        <v>1873</v>
      </c>
    </row>
    <row r="29" spans="1:13" x14ac:dyDescent="0.3">
      <c r="A29" s="16" t="s">
        <v>260</v>
      </c>
      <c r="B29" s="16" t="s">
        <v>202</v>
      </c>
      <c r="C29" s="16" t="s">
        <v>303</v>
      </c>
      <c r="D29" s="16">
        <v>2348</v>
      </c>
    </row>
    <row r="30" spans="1:13" x14ac:dyDescent="0.3">
      <c r="A30" s="16" t="s">
        <v>261</v>
      </c>
      <c r="B30" s="16" t="s">
        <v>203</v>
      </c>
      <c r="C30" s="16" t="s">
        <v>78</v>
      </c>
      <c r="D30" s="16">
        <v>1370</v>
      </c>
    </row>
    <row r="31" spans="1:13" x14ac:dyDescent="0.3">
      <c r="A31" s="16" t="s">
        <v>262</v>
      </c>
      <c r="B31" s="16" t="s">
        <v>204</v>
      </c>
      <c r="C31" s="16" t="s">
        <v>303</v>
      </c>
      <c r="D31" s="16">
        <v>1764</v>
      </c>
    </row>
    <row r="32" spans="1:13" x14ac:dyDescent="0.3">
      <c r="A32" s="16" t="s">
        <v>263</v>
      </c>
      <c r="B32" s="16" t="s">
        <v>205</v>
      </c>
      <c r="C32" s="16" t="s">
        <v>78</v>
      </c>
      <c r="D32" s="16">
        <v>3318</v>
      </c>
    </row>
    <row r="33" spans="1:4" x14ac:dyDescent="0.3">
      <c r="A33" s="16" t="s">
        <v>264</v>
      </c>
      <c r="B33" s="16" t="s">
        <v>206</v>
      </c>
      <c r="C33" s="16" t="s">
        <v>300</v>
      </c>
      <c r="D33" s="16">
        <v>1725</v>
      </c>
    </row>
    <row r="34" spans="1:4" x14ac:dyDescent="0.3">
      <c r="A34" s="16" t="s">
        <v>265</v>
      </c>
      <c r="B34" s="16" t="s">
        <v>207</v>
      </c>
      <c r="C34" s="16" t="s">
        <v>301</v>
      </c>
      <c r="D34" s="16">
        <v>2844</v>
      </c>
    </row>
    <row r="35" spans="1:4" x14ac:dyDescent="0.3">
      <c r="A35" s="16" t="s">
        <v>266</v>
      </c>
      <c r="B35" s="16" t="s">
        <v>208</v>
      </c>
      <c r="C35" s="16" t="s">
        <v>302</v>
      </c>
      <c r="D35" s="16">
        <v>2252</v>
      </c>
    </row>
    <row r="36" spans="1:4" x14ac:dyDescent="0.3">
      <c r="A36" s="16" t="s">
        <v>267</v>
      </c>
      <c r="B36" s="16" t="s">
        <v>209</v>
      </c>
      <c r="C36" s="16" t="s">
        <v>302</v>
      </c>
      <c r="D36" s="16">
        <v>2898</v>
      </c>
    </row>
    <row r="37" spans="1:4" x14ac:dyDescent="0.3">
      <c r="A37" s="16" t="s">
        <v>268</v>
      </c>
      <c r="B37" s="16" t="s">
        <v>210</v>
      </c>
      <c r="C37" s="16" t="s">
        <v>303</v>
      </c>
      <c r="D37" s="16">
        <v>2240</v>
      </c>
    </row>
    <row r="38" spans="1:4" x14ac:dyDescent="0.3">
      <c r="A38" s="16" t="s">
        <v>269</v>
      </c>
      <c r="B38" s="16" t="s">
        <v>211</v>
      </c>
      <c r="C38" s="16" t="s">
        <v>300</v>
      </c>
      <c r="D38" s="16">
        <v>297</v>
      </c>
    </row>
    <row r="39" spans="1:4" x14ac:dyDescent="0.3">
      <c r="A39" s="16" t="s">
        <v>270</v>
      </c>
      <c r="B39" s="16" t="s">
        <v>212</v>
      </c>
      <c r="C39" s="16" t="s">
        <v>301</v>
      </c>
      <c r="D39" s="16">
        <v>2928</v>
      </c>
    </row>
    <row r="40" spans="1:4" x14ac:dyDescent="0.3">
      <c r="A40" s="16" t="s">
        <v>271</v>
      </c>
      <c r="B40" s="16" t="s">
        <v>213</v>
      </c>
      <c r="C40" s="16" t="s">
        <v>301</v>
      </c>
      <c r="D40" s="16">
        <v>2686</v>
      </c>
    </row>
    <row r="41" spans="1:4" x14ac:dyDescent="0.3">
      <c r="A41" s="16" t="s">
        <v>272</v>
      </c>
      <c r="B41" s="16" t="s">
        <v>214</v>
      </c>
      <c r="C41" s="16" t="s">
        <v>302</v>
      </c>
      <c r="D41" s="16">
        <v>2160</v>
      </c>
    </row>
    <row r="42" spans="1:4" x14ac:dyDescent="0.3">
      <c r="A42" s="16" t="s">
        <v>273</v>
      </c>
      <c r="B42" s="16" t="s">
        <v>215</v>
      </c>
      <c r="C42" s="16" t="s">
        <v>78</v>
      </c>
      <c r="D42" s="16">
        <v>3493</v>
      </c>
    </row>
    <row r="43" spans="1:4" x14ac:dyDescent="0.3">
      <c r="A43" s="16" t="s">
        <v>274</v>
      </c>
      <c r="B43" s="16" t="s">
        <v>216</v>
      </c>
      <c r="C43" s="16" t="s">
        <v>300</v>
      </c>
      <c r="D43" s="16">
        <v>2891</v>
      </c>
    </row>
    <row r="44" spans="1:4" x14ac:dyDescent="0.3">
      <c r="A44" s="16" t="s">
        <v>275</v>
      </c>
      <c r="B44" s="16" t="s">
        <v>298</v>
      </c>
      <c r="C44" s="16" t="s">
        <v>301</v>
      </c>
      <c r="D44" s="16">
        <v>388</v>
      </c>
    </row>
    <row r="45" spans="1:4" x14ac:dyDescent="0.3">
      <c r="A45" s="16" t="s">
        <v>276</v>
      </c>
      <c r="B45" s="16" t="s">
        <v>217</v>
      </c>
      <c r="C45" s="16" t="s">
        <v>303</v>
      </c>
      <c r="D45" s="16">
        <v>264</v>
      </c>
    </row>
    <row r="46" spans="1:4" x14ac:dyDescent="0.3">
      <c r="A46" s="16" t="s">
        <v>277</v>
      </c>
      <c r="B46" s="16" t="s">
        <v>218</v>
      </c>
      <c r="C46" s="16" t="s">
        <v>78</v>
      </c>
      <c r="D46" s="16">
        <v>2803</v>
      </c>
    </row>
    <row r="47" spans="1:4" x14ac:dyDescent="0.3">
      <c r="A47" s="16" t="s">
        <v>278</v>
      </c>
      <c r="B47" s="16" t="s">
        <v>297</v>
      </c>
      <c r="C47" s="16" t="s">
        <v>300</v>
      </c>
      <c r="D47" s="16">
        <v>472</v>
      </c>
    </row>
    <row r="48" spans="1:4" x14ac:dyDescent="0.3">
      <c r="A48" s="16" t="s">
        <v>279</v>
      </c>
      <c r="B48" s="16" t="s">
        <v>219</v>
      </c>
      <c r="C48" s="16" t="s">
        <v>302</v>
      </c>
      <c r="D48" s="16">
        <v>1300</v>
      </c>
    </row>
    <row r="49" spans="1:4" x14ac:dyDescent="0.3">
      <c r="A49" s="16" t="s">
        <v>280</v>
      </c>
      <c r="B49" s="16" t="s">
        <v>220</v>
      </c>
      <c r="C49" s="16" t="s">
        <v>303</v>
      </c>
      <c r="D49" s="16">
        <v>3531</v>
      </c>
    </row>
    <row r="50" spans="1:4" x14ac:dyDescent="0.3">
      <c r="A50" s="16" t="s">
        <v>281</v>
      </c>
      <c r="B50" s="16" t="s">
        <v>221</v>
      </c>
      <c r="C50" s="16" t="s">
        <v>301</v>
      </c>
      <c r="D50" s="16">
        <v>2001</v>
      </c>
    </row>
    <row r="51" spans="1:4" x14ac:dyDescent="0.3">
      <c r="A51" s="16" t="s">
        <v>282</v>
      </c>
      <c r="B51" s="16" t="s">
        <v>222</v>
      </c>
      <c r="C51" s="16" t="s">
        <v>302</v>
      </c>
      <c r="D51" s="16">
        <v>340</v>
      </c>
    </row>
    <row r="52" spans="1:4" x14ac:dyDescent="0.3">
      <c r="A52" s="16" t="s">
        <v>283</v>
      </c>
      <c r="B52" s="16" t="s">
        <v>223</v>
      </c>
      <c r="C52" s="16" t="s">
        <v>301</v>
      </c>
      <c r="D52" s="16">
        <v>1884</v>
      </c>
    </row>
    <row r="53" spans="1:4" x14ac:dyDescent="0.3">
      <c r="A53" s="16" t="s">
        <v>284</v>
      </c>
      <c r="B53" s="16" t="s">
        <v>224</v>
      </c>
      <c r="C53" s="16" t="s">
        <v>303</v>
      </c>
      <c r="D53" s="16">
        <v>1964</v>
      </c>
    </row>
    <row r="54" spans="1:4" x14ac:dyDescent="0.3">
      <c r="A54" s="16" t="s">
        <v>285</v>
      </c>
      <c r="B54" s="16" t="s">
        <v>225</v>
      </c>
      <c r="C54" s="16" t="s">
        <v>302</v>
      </c>
      <c r="D54" s="16">
        <v>1224</v>
      </c>
    </row>
    <row r="55" spans="1:4" x14ac:dyDescent="0.3">
      <c r="A55" s="16" t="s">
        <v>286</v>
      </c>
      <c r="B55" s="16" t="s">
        <v>226</v>
      </c>
      <c r="C55" s="16" t="s">
        <v>303</v>
      </c>
      <c r="D55" s="16">
        <v>3222</v>
      </c>
    </row>
    <row r="56" spans="1:4" x14ac:dyDescent="0.3">
      <c r="A56" s="16" t="s">
        <v>287</v>
      </c>
      <c r="B56" s="16" t="s">
        <v>227</v>
      </c>
      <c r="C56" s="16" t="s">
        <v>303</v>
      </c>
      <c r="D56" s="16">
        <v>1355</v>
      </c>
    </row>
    <row r="57" spans="1:4" x14ac:dyDescent="0.3">
      <c r="A57" s="16" t="s">
        <v>288</v>
      </c>
      <c r="B57" s="16" t="s">
        <v>228</v>
      </c>
      <c r="C57" s="16" t="s">
        <v>303</v>
      </c>
      <c r="D57" s="16">
        <v>2726</v>
      </c>
    </row>
    <row r="58" spans="1:4" x14ac:dyDescent="0.3">
      <c r="A58" s="16" t="s">
        <v>289</v>
      </c>
      <c r="B58" s="16" t="s">
        <v>229</v>
      </c>
      <c r="C58" s="16" t="s">
        <v>78</v>
      </c>
      <c r="D58" s="16">
        <v>278</v>
      </c>
    </row>
    <row r="59" spans="1:4" x14ac:dyDescent="0.3">
      <c r="A59" s="16" t="s">
        <v>290</v>
      </c>
      <c r="B59" s="16" t="s">
        <v>230</v>
      </c>
      <c r="C59" s="16" t="s">
        <v>303</v>
      </c>
      <c r="D59" s="16">
        <v>2603</v>
      </c>
    </row>
    <row r="60" spans="1:4" x14ac:dyDescent="0.3">
      <c r="A60" s="16" t="s">
        <v>291</v>
      </c>
      <c r="B60" s="16" t="s">
        <v>231</v>
      </c>
      <c r="C60" s="16" t="s">
        <v>300</v>
      </c>
      <c r="D60" s="16">
        <v>1463</v>
      </c>
    </row>
    <row r="61" spans="1:4" x14ac:dyDescent="0.3">
      <c r="A61" s="16" t="s">
        <v>292</v>
      </c>
      <c r="B61" s="16" t="s">
        <v>232</v>
      </c>
      <c r="C61" s="16" t="s">
        <v>78</v>
      </c>
      <c r="D61" s="16">
        <v>1922</v>
      </c>
    </row>
    <row r="62" spans="1:4" x14ac:dyDescent="0.3">
      <c r="A62" s="16" t="s">
        <v>293</v>
      </c>
      <c r="B62" s="16" t="s">
        <v>233</v>
      </c>
      <c r="C62" s="16" t="s">
        <v>302</v>
      </c>
      <c r="D62" s="16">
        <v>1870</v>
      </c>
    </row>
    <row r="63" spans="1:4" x14ac:dyDescent="0.3">
      <c r="A63" s="16" t="s">
        <v>294</v>
      </c>
      <c r="B63" s="16" t="s">
        <v>234</v>
      </c>
      <c r="C63" s="16" t="s">
        <v>301</v>
      </c>
      <c r="D63" s="16">
        <v>2617</v>
      </c>
    </row>
    <row r="64" spans="1:4" x14ac:dyDescent="0.3">
      <c r="A64" s="16" t="s">
        <v>295</v>
      </c>
      <c r="B64" s="16" t="s">
        <v>235</v>
      </c>
      <c r="C64" s="16" t="s">
        <v>301</v>
      </c>
      <c r="D64" s="16">
        <v>3467</v>
      </c>
    </row>
  </sheetData>
  <hyperlinks>
    <hyperlink ref="A1" location="Topics!B11" display="Home" xr:uid="{00000000-0004-0000-1400-000000000000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rgb="FF0000FF"/>
  </sheetPr>
  <dimension ref="A1:L65"/>
  <sheetViews>
    <sheetView workbookViewId="0">
      <selection activeCell="I6" sqref="I6"/>
    </sheetView>
  </sheetViews>
  <sheetFormatPr defaultRowHeight="14.4" x14ac:dyDescent="0.3"/>
  <cols>
    <col min="1" max="1" width="19.88671875" customWidth="1"/>
    <col min="2" max="2" width="21.33203125" customWidth="1"/>
    <col min="3" max="3" width="18.33203125" customWidth="1"/>
    <col min="4" max="4" width="13.5546875" customWidth="1"/>
    <col min="8" max="8" width="18.44140625" customWidth="1"/>
    <col min="9" max="9" width="12" customWidth="1"/>
    <col min="12" max="12" width="24.33203125" customWidth="1"/>
  </cols>
  <sheetData>
    <row r="1" spans="1:12" x14ac:dyDescent="0.3">
      <c r="A1" s="13" t="s">
        <v>35</v>
      </c>
    </row>
    <row r="2" spans="1:12" ht="18" x14ac:dyDescent="0.35">
      <c r="A2" s="27" t="str">
        <f ca="1">"Topic: "&amp;INDEX(Topics!$A$12:$A$42,MATCH(REPLACE(CELL("filename",A1),1,SEARCH("]",CELL("filename",A1)),""),Topics!$C$12:$C$42,0))</f>
        <v>Topic: SUMIFS</v>
      </c>
      <c r="B2" s="1" t="s">
        <v>325</v>
      </c>
    </row>
    <row r="5" spans="1:12" ht="28.8" x14ac:dyDescent="0.3">
      <c r="A5" s="21" t="s">
        <v>178</v>
      </c>
      <c r="B5" s="21" t="s">
        <v>37</v>
      </c>
      <c r="C5" s="21" t="s">
        <v>299</v>
      </c>
      <c r="D5" s="23" t="s">
        <v>309</v>
      </c>
      <c r="H5" s="21" t="s">
        <v>299</v>
      </c>
      <c r="I5" s="21" t="s">
        <v>323</v>
      </c>
      <c r="J5" s="40" t="s">
        <v>312</v>
      </c>
    </row>
    <row r="6" spans="1:12" x14ac:dyDescent="0.3">
      <c r="A6" s="16" t="s">
        <v>236</v>
      </c>
      <c r="B6" s="16" t="s">
        <v>179</v>
      </c>
      <c r="C6" s="16" t="s">
        <v>78</v>
      </c>
      <c r="D6" s="16">
        <v>3063</v>
      </c>
      <c r="H6" s="16" t="s">
        <v>78</v>
      </c>
      <c r="I6" s="24">
        <f>SUMIFS($D$6:$D$65,$C$6:$C$65,H6)</f>
        <v>26433</v>
      </c>
      <c r="J6" s="41">
        <f>COUNTIF($C$6:$C$65,H6)</f>
        <v>13</v>
      </c>
    </row>
    <row r="7" spans="1:12" x14ac:dyDescent="0.3">
      <c r="A7" s="16" t="s">
        <v>237</v>
      </c>
      <c r="B7" s="16" t="s">
        <v>180</v>
      </c>
      <c r="C7" s="16" t="s">
        <v>78</v>
      </c>
      <c r="D7" s="16">
        <v>274</v>
      </c>
      <c r="H7" s="16" t="s">
        <v>300</v>
      </c>
      <c r="I7" s="24">
        <f t="shared" ref="I7:I9" si="0">SUMIFS($D$6:$D$65,$C$6:$C$65,H7)</f>
        <v>18096</v>
      </c>
      <c r="J7" s="41">
        <f t="shared" ref="J7:J10" si="1">COUNTIF($C$6:$C$65,H7)</f>
        <v>12</v>
      </c>
    </row>
    <row r="8" spans="1:12" x14ac:dyDescent="0.3">
      <c r="A8" s="16" t="s">
        <v>238</v>
      </c>
      <c r="B8" s="16" t="s">
        <v>181</v>
      </c>
      <c r="C8" s="16" t="s">
        <v>300</v>
      </c>
      <c r="D8" s="16">
        <v>1621</v>
      </c>
      <c r="H8" s="16" t="s">
        <v>301</v>
      </c>
      <c r="I8" s="24">
        <f t="shared" si="0"/>
        <v>29051</v>
      </c>
      <c r="J8" s="41">
        <f t="shared" si="1"/>
        <v>12</v>
      </c>
    </row>
    <row r="9" spans="1:12" x14ac:dyDescent="0.3">
      <c r="A9" s="16" t="s">
        <v>239</v>
      </c>
      <c r="B9" s="16" t="s">
        <v>182</v>
      </c>
      <c r="C9" s="16" t="s">
        <v>301</v>
      </c>
      <c r="D9" s="16">
        <v>2034</v>
      </c>
      <c r="H9" s="16" t="s">
        <v>303</v>
      </c>
      <c r="I9" s="24">
        <f t="shared" si="0"/>
        <v>30178</v>
      </c>
      <c r="J9" s="41">
        <f t="shared" si="1"/>
        <v>14</v>
      </c>
    </row>
    <row r="10" spans="1:12" x14ac:dyDescent="0.3">
      <c r="A10" s="16" t="s">
        <v>240</v>
      </c>
      <c r="B10" s="16" t="s">
        <v>183</v>
      </c>
      <c r="C10" s="16" t="s">
        <v>300</v>
      </c>
      <c r="D10" s="16">
        <v>1219</v>
      </c>
      <c r="H10" s="16" t="s">
        <v>302</v>
      </c>
      <c r="I10" s="24">
        <f>SUMIFS($D$6:$D$65,$C$6:$C$65,H10)</f>
        <v>14101</v>
      </c>
      <c r="J10" s="41">
        <f t="shared" si="1"/>
        <v>9</v>
      </c>
    </row>
    <row r="11" spans="1:12" x14ac:dyDescent="0.3">
      <c r="A11" s="16" t="s">
        <v>241</v>
      </c>
      <c r="B11" s="16" t="s">
        <v>184</v>
      </c>
      <c r="C11" s="16" t="s">
        <v>301</v>
      </c>
      <c r="D11" s="16">
        <v>1817</v>
      </c>
    </row>
    <row r="12" spans="1:12" x14ac:dyDescent="0.3">
      <c r="A12" s="16" t="s">
        <v>242</v>
      </c>
      <c r="B12" s="16" t="s">
        <v>185</v>
      </c>
      <c r="C12" s="16" t="s">
        <v>300</v>
      </c>
      <c r="D12" s="16">
        <v>2998</v>
      </c>
    </row>
    <row r="13" spans="1:12" x14ac:dyDescent="0.3">
      <c r="A13" s="16" t="s">
        <v>243</v>
      </c>
      <c r="B13" s="16" t="s">
        <v>186</v>
      </c>
      <c r="C13" s="16" t="s">
        <v>78</v>
      </c>
      <c r="D13" s="16">
        <v>1944</v>
      </c>
      <c r="L13" t="s">
        <v>335</v>
      </c>
    </row>
    <row r="14" spans="1:12" x14ac:dyDescent="0.3">
      <c r="A14" s="16" t="s">
        <v>244</v>
      </c>
      <c r="B14" s="16" t="s">
        <v>187</v>
      </c>
      <c r="C14" s="16" t="s">
        <v>303</v>
      </c>
      <c r="D14" s="16">
        <v>1976</v>
      </c>
      <c r="L14" t="s">
        <v>336</v>
      </c>
    </row>
    <row r="15" spans="1:12" x14ac:dyDescent="0.3">
      <c r="A15" s="16" t="s">
        <v>245</v>
      </c>
      <c r="B15" s="16" t="s">
        <v>188</v>
      </c>
      <c r="C15" s="16" t="s">
        <v>303</v>
      </c>
      <c r="D15" s="16">
        <v>1396</v>
      </c>
    </row>
    <row r="16" spans="1:12" x14ac:dyDescent="0.3">
      <c r="A16" s="16" t="s">
        <v>246</v>
      </c>
      <c r="B16" s="16" t="s">
        <v>189</v>
      </c>
      <c r="C16" s="16" t="s">
        <v>300</v>
      </c>
      <c r="D16" s="16">
        <v>2171</v>
      </c>
    </row>
    <row r="17" spans="1:10" x14ac:dyDescent="0.3">
      <c r="A17" s="16" t="s">
        <v>247</v>
      </c>
      <c r="B17" s="16" t="s">
        <v>296</v>
      </c>
      <c r="C17" s="16" t="s">
        <v>303</v>
      </c>
      <c r="D17" s="16">
        <v>2050</v>
      </c>
    </row>
    <row r="18" spans="1:10" x14ac:dyDescent="0.3">
      <c r="A18" s="16" t="s">
        <v>248</v>
      </c>
      <c r="B18" s="16" t="s">
        <v>190</v>
      </c>
      <c r="C18" s="16" t="s">
        <v>303</v>
      </c>
      <c r="D18" s="16">
        <v>2739</v>
      </c>
    </row>
    <row r="19" spans="1:10" x14ac:dyDescent="0.3">
      <c r="A19" s="16" t="s">
        <v>249</v>
      </c>
      <c r="B19" s="16" t="s">
        <v>191</v>
      </c>
      <c r="C19" s="16" t="s">
        <v>302</v>
      </c>
      <c r="D19" s="16">
        <v>1877</v>
      </c>
      <c r="H19" s="42"/>
      <c r="I19" s="42"/>
      <c r="J19" s="42"/>
    </row>
    <row r="20" spans="1:10" x14ac:dyDescent="0.3">
      <c r="A20" s="16" t="s">
        <v>250</v>
      </c>
      <c r="B20" s="16" t="s">
        <v>192</v>
      </c>
      <c r="C20" s="16" t="s">
        <v>301</v>
      </c>
      <c r="D20" s="16">
        <v>2896</v>
      </c>
      <c r="H20" s="39"/>
      <c r="I20" s="39"/>
      <c r="J20" s="39"/>
    </row>
    <row r="21" spans="1:10" x14ac:dyDescent="0.3">
      <c r="A21" s="16" t="s">
        <v>251</v>
      </c>
      <c r="B21" s="16" t="s">
        <v>193</v>
      </c>
      <c r="C21" s="16" t="s">
        <v>78</v>
      </c>
      <c r="D21" s="16">
        <v>2298</v>
      </c>
      <c r="H21" s="39"/>
      <c r="I21" s="39"/>
      <c r="J21" s="39"/>
    </row>
    <row r="22" spans="1:10" x14ac:dyDescent="0.3">
      <c r="A22" s="16" t="s">
        <v>252</v>
      </c>
      <c r="B22" s="16" t="s">
        <v>194</v>
      </c>
      <c r="C22" s="16" t="s">
        <v>78</v>
      </c>
      <c r="D22" s="16">
        <v>1134</v>
      </c>
      <c r="H22" s="39"/>
      <c r="I22" s="39"/>
      <c r="J22" s="39"/>
    </row>
    <row r="23" spans="1:10" x14ac:dyDescent="0.3">
      <c r="A23" s="16" t="s">
        <v>253</v>
      </c>
      <c r="B23" s="16" t="s">
        <v>195</v>
      </c>
      <c r="C23" s="16" t="s">
        <v>300</v>
      </c>
      <c r="D23" s="16">
        <v>1262</v>
      </c>
      <c r="H23" s="39"/>
      <c r="I23" s="39"/>
      <c r="J23" s="39"/>
    </row>
    <row r="24" spans="1:10" x14ac:dyDescent="0.3">
      <c r="A24" s="16" t="s">
        <v>254</v>
      </c>
      <c r="B24" s="16" t="s">
        <v>196</v>
      </c>
      <c r="C24" s="16" t="s">
        <v>301</v>
      </c>
      <c r="D24" s="16">
        <v>3489</v>
      </c>
    </row>
    <row r="25" spans="1:10" x14ac:dyDescent="0.3">
      <c r="A25" s="16" t="s">
        <v>255</v>
      </c>
      <c r="B25" s="16" t="s">
        <v>197</v>
      </c>
      <c r="C25" s="16" t="s">
        <v>78</v>
      </c>
      <c r="D25" s="16">
        <v>3460</v>
      </c>
    </row>
    <row r="26" spans="1:10" x14ac:dyDescent="0.3">
      <c r="A26" s="16" t="s">
        <v>256</v>
      </c>
      <c r="B26" s="16" t="s">
        <v>198</v>
      </c>
      <c r="C26" s="16" t="s">
        <v>78</v>
      </c>
      <c r="D26" s="16">
        <v>1076</v>
      </c>
    </row>
    <row r="27" spans="1:10" x14ac:dyDescent="0.3">
      <c r="A27" s="16" t="s">
        <v>257</v>
      </c>
      <c r="B27" s="16" t="s">
        <v>199</v>
      </c>
      <c r="C27" s="16" t="s">
        <v>300</v>
      </c>
      <c r="D27" s="16">
        <v>104</v>
      </c>
    </row>
    <row r="28" spans="1:10" x14ac:dyDescent="0.3">
      <c r="A28" s="16" t="s">
        <v>258</v>
      </c>
      <c r="B28" s="16" t="s">
        <v>200</v>
      </c>
      <c r="C28" s="16" t="s">
        <v>302</v>
      </c>
      <c r="D28" s="16">
        <v>180</v>
      </c>
    </row>
    <row r="29" spans="1:10" x14ac:dyDescent="0.3">
      <c r="A29" s="16" t="s">
        <v>259</v>
      </c>
      <c r="B29" s="16" t="s">
        <v>201</v>
      </c>
      <c r="C29" s="16" t="s">
        <v>300</v>
      </c>
      <c r="D29" s="16">
        <v>1873</v>
      </c>
    </row>
    <row r="30" spans="1:10" x14ac:dyDescent="0.3">
      <c r="A30" s="16" t="s">
        <v>260</v>
      </c>
      <c r="B30" s="16" t="s">
        <v>202</v>
      </c>
      <c r="C30" s="16" t="s">
        <v>303</v>
      </c>
      <c r="D30" s="16">
        <v>2348</v>
      </c>
    </row>
    <row r="31" spans="1:10" x14ac:dyDescent="0.3">
      <c r="A31" s="16" t="s">
        <v>261</v>
      </c>
      <c r="B31" s="16" t="s">
        <v>203</v>
      </c>
      <c r="C31" s="16" t="s">
        <v>78</v>
      </c>
      <c r="D31" s="16">
        <v>1370</v>
      </c>
    </row>
    <row r="32" spans="1:10" x14ac:dyDescent="0.3">
      <c r="A32" s="16" t="s">
        <v>262</v>
      </c>
      <c r="B32" s="16" t="s">
        <v>204</v>
      </c>
      <c r="C32" s="16" t="s">
        <v>303</v>
      </c>
      <c r="D32" s="16">
        <v>1764</v>
      </c>
    </row>
    <row r="33" spans="1:4" x14ac:dyDescent="0.3">
      <c r="A33" s="16" t="s">
        <v>263</v>
      </c>
      <c r="B33" s="16" t="s">
        <v>205</v>
      </c>
      <c r="C33" s="16" t="s">
        <v>78</v>
      </c>
      <c r="D33" s="16">
        <v>3318</v>
      </c>
    </row>
    <row r="34" spans="1:4" x14ac:dyDescent="0.3">
      <c r="A34" s="16" t="s">
        <v>264</v>
      </c>
      <c r="B34" s="16" t="s">
        <v>206</v>
      </c>
      <c r="C34" s="16" t="s">
        <v>300</v>
      </c>
      <c r="D34" s="16">
        <v>1725</v>
      </c>
    </row>
    <row r="35" spans="1:4" x14ac:dyDescent="0.3">
      <c r="A35" s="16" t="s">
        <v>265</v>
      </c>
      <c r="B35" s="16" t="s">
        <v>207</v>
      </c>
      <c r="C35" s="16" t="s">
        <v>301</v>
      </c>
      <c r="D35" s="16">
        <v>2844</v>
      </c>
    </row>
    <row r="36" spans="1:4" x14ac:dyDescent="0.3">
      <c r="A36" s="16" t="s">
        <v>266</v>
      </c>
      <c r="B36" s="16" t="s">
        <v>208</v>
      </c>
      <c r="C36" s="16" t="s">
        <v>302</v>
      </c>
      <c r="D36" s="16">
        <v>2252</v>
      </c>
    </row>
    <row r="37" spans="1:4" x14ac:dyDescent="0.3">
      <c r="A37" s="16" t="s">
        <v>267</v>
      </c>
      <c r="B37" s="16" t="s">
        <v>209</v>
      </c>
      <c r="C37" s="16" t="s">
        <v>302</v>
      </c>
      <c r="D37" s="16">
        <v>2898</v>
      </c>
    </row>
    <row r="38" spans="1:4" x14ac:dyDescent="0.3">
      <c r="A38" s="16" t="s">
        <v>268</v>
      </c>
      <c r="B38" s="16" t="s">
        <v>210</v>
      </c>
      <c r="C38" s="16" t="s">
        <v>303</v>
      </c>
      <c r="D38" s="16">
        <v>2240</v>
      </c>
    </row>
    <row r="39" spans="1:4" x14ac:dyDescent="0.3">
      <c r="A39" s="16" t="s">
        <v>269</v>
      </c>
      <c r="B39" s="16" t="s">
        <v>211</v>
      </c>
      <c r="C39" s="16" t="s">
        <v>300</v>
      </c>
      <c r="D39" s="16">
        <v>297</v>
      </c>
    </row>
    <row r="40" spans="1:4" x14ac:dyDescent="0.3">
      <c r="A40" s="16" t="s">
        <v>270</v>
      </c>
      <c r="B40" s="16" t="s">
        <v>212</v>
      </c>
      <c r="C40" s="16" t="s">
        <v>301</v>
      </c>
      <c r="D40" s="16">
        <v>2928</v>
      </c>
    </row>
    <row r="41" spans="1:4" x14ac:dyDescent="0.3">
      <c r="A41" s="16" t="s">
        <v>271</v>
      </c>
      <c r="B41" s="16" t="s">
        <v>213</v>
      </c>
      <c r="C41" s="16" t="s">
        <v>301</v>
      </c>
      <c r="D41" s="16">
        <v>2686</v>
      </c>
    </row>
    <row r="42" spans="1:4" x14ac:dyDescent="0.3">
      <c r="A42" s="16" t="s">
        <v>272</v>
      </c>
      <c r="B42" s="16" t="s">
        <v>214</v>
      </c>
      <c r="C42" s="16" t="s">
        <v>302</v>
      </c>
      <c r="D42" s="16">
        <v>2160</v>
      </c>
    </row>
    <row r="43" spans="1:4" x14ac:dyDescent="0.3">
      <c r="A43" s="16" t="s">
        <v>273</v>
      </c>
      <c r="B43" s="16" t="s">
        <v>215</v>
      </c>
      <c r="C43" s="16" t="s">
        <v>78</v>
      </c>
      <c r="D43" s="16">
        <v>3493</v>
      </c>
    </row>
    <row r="44" spans="1:4" x14ac:dyDescent="0.3">
      <c r="A44" s="16" t="s">
        <v>274</v>
      </c>
      <c r="B44" s="16" t="s">
        <v>216</v>
      </c>
      <c r="C44" s="16" t="s">
        <v>300</v>
      </c>
      <c r="D44" s="16">
        <v>2891</v>
      </c>
    </row>
    <row r="45" spans="1:4" x14ac:dyDescent="0.3">
      <c r="A45" s="16" t="s">
        <v>275</v>
      </c>
      <c r="B45" s="16" t="s">
        <v>298</v>
      </c>
      <c r="C45" s="16" t="s">
        <v>301</v>
      </c>
      <c r="D45" s="16">
        <v>388</v>
      </c>
    </row>
    <row r="46" spans="1:4" x14ac:dyDescent="0.3">
      <c r="A46" s="16" t="s">
        <v>276</v>
      </c>
      <c r="B46" s="16" t="s">
        <v>217</v>
      </c>
      <c r="C46" s="16" t="s">
        <v>303</v>
      </c>
      <c r="D46" s="16">
        <v>264</v>
      </c>
    </row>
    <row r="47" spans="1:4" x14ac:dyDescent="0.3">
      <c r="A47" s="16" t="s">
        <v>277</v>
      </c>
      <c r="B47" s="16" t="s">
        <v>218</v>
      </c>
      <c r="C47" s="16" t="s">
        <v>78</v>
      </c>
      <c r="D47" s="16">
        <v>2803</v>
      </c>
    </row>
    <row r="48" spans="1:4" x14ac:dyDescent="0.3">
      <c r="A48" s="16" t="s">
        <v>278</v>
      </c>
      <c r="B48" s="16" t="s">
        <v>297</v>
      </c>
      <c r="C48" s="16" t="s">
        <v>300</v>
      </c>
      <c r="D48" s="16">
        <v>472</v>
      </c>
    </row>
    <row r="49" spans="1:4" x14ac:dyDescent="0.3">
      <c r="A49" s="16" t="s">
        <v>279</v>
      </c>
      <c r="B49" s="16" t="s">
        <v>219</v>
      </c>
      <c r="C49" s="16" t="s">
        <v>302</v>
      </c>
      <c r="D49" s="16">
        <v>1300</v>
      </c>
    </row>
    <row r="50" spans="1:4" x14ac:dyDescent="0.3">
      <c r="A50" s="16" t="s">
        <v>280</v>
      </c>
      <c r="B50" s="16" t="s">
        <v>220</v>
      </c>
      <c r="C50" s="16" t="s">
        <v>303</v>
      </c>
      <c r="D50" s="16">
        <v>3531</v>
      </c>
    </row>
    <row r="51" spans="1:4" x14ac:dyDescent="0.3">
      <c r="A51" s="16" t="s">
        <v>281</v>
      </c>
      <c r="B51" s="16" t="s">
        <v>221</v>
      </c>
      <c r="C51" s="16" t="s">
        <v>301</v>
      </c>
      <c r="D51" s="16">
        <v>2001</v>
      </c>
    </row>
    <row r="52" spans="1:4" x14ac:dyDescent="0.3">
      <c r="A52" s="16" t="s">
        <v>282</v>
      </c>
      <c r="B52" s="16" t="s">
        <v>222</v>
      </c>
      <c r="C52" s="16" t="s">
        <v>302</v>
      </c>
      <c r="D52" s="16">
        <v>340</v>
      </c>
    </row>
    <row r="53" spans="1:4" x14ac:dyDescent="0.3">
      <c r="A53" s="16" t="s">
        <v>283</v>
      </c>
      <c r="B53" s="16" t="s">
        <v>223</v>
      </c>
      <c r="C53" s="16" t="s">
        <v>301</v>
      </c>
      <c r="D53" s="16">
        <v>1884</v>
      </c>
    </row>
    <row r="54" spans="1:4" x14ac:dyDescent="0.3">
      <c r="A54" s="16" t="s">
        <v>284</v>
      </c>
      <c r="B54" s="16" t="s">
        <v>224</v>
      </c>
      <c r="C54" s="16" t="s">
        <v>303</v>
      </c>
      <c r="D54" s="16">
        <v>1964</v>
      </c>
    </row>
    <row r="55" spans="1:4" x14ac:dyDescent="0.3">
      <c r="A55" s="16" t="s">
        <v>285</v>
      </c>
      <c r="B55" s="16" t="s">
        <v>225</v>
      </c>
      <c r="C55" s="16" t="s">
        <v>302</v>
      </c>
      <c r="D55" s="16">
        <v>1224</v>
      </c>
    </row>
    <row r="56" spans="1:4" x14ac:dyDescent="0.3">
      <c r="A56" s="16" t="s">
        <v>286</v>
      </c>
      <c r="B56" s="16" t="s">
        <v>226</v>
      </c>
      <c r="C56" s="16" t="s">
        <v>303</v>
      </c>
      <c r="D56" s="16">
        <v>3222</v>
      </c>
    </row>
    <row r="57" spans="1:4" x14ac:dyDescent="0.3">
      <c r="A57" s="16" t="s">
        <v>287</v>
      </c>
      <c r="B57" s="16" t="s">
        <v>227</v>
      </c>
      <c r="C57" s="16" t="s">
        <v>303</v>
      </c>
      <c r="D57" s="16">
        <v>1355</v>
      </c>
    </row>
    <row r="58" spans="1:4" x14ac:dyDescent="0.3">
      <c r="A58" s="16" t="s">
        <v>288</v>
      </c>
      <c r="B58" s="16" t="s">
        <v>228</v>
      </c>
      <c r="C58" s="16" t="s">
        <v>303</v>
      </c>
      <c r="D58" s="16">
        <v>2726</v>
      </c>
    </row>
    <row r="59" spans="1:4" x14ac:dyDescent="0.3">
      <c r="A59" s="16" t="s">
        <v>289</v>
      </c>
      <c r="B59" s="16" t="s">
        <v>229</v>
      </c>
      <c r="C59" s="16" t="s">
        <v>78</v>
      </c>
      <c r="D59" s="16">
        <v>278</v>
      </c>
    </row>
    <row r="60" spans="1:4" x14ac:dyDescent="0.3">
      <c r="A60" s="16" t="s">
        <v>290</v>
      </c>
      <c r="B60" s="16" t="s">
        <v>230</v>
      </c>
      <c r="C60" s="16" t="s">
        <v>303</v>
      </c>
      <c r="D60" s="16">
        <v>2603</v>
      </c>
    </row>
    <row r="61" spans="1:4" x14ac:dyDescent="0.3">
      <c r="A61" s="16" t="s">
        <v>291</v>
      </c>
      <c r="B61" s="16" t="s">
        <v>231</v>
      </c>
      <c r="C61" s="16" t="s">
        <v>300</v>
      </c>
      <c r="D61" s="16">
        <v>1463</v>
      </c>
    </row>
    <row r="62" spans="1:4" x14ac:dyDescent="0.3">
      <c r="A62" s="16" t="s">
        <v>292</v>
      </c>
      <c r="B62" s="16" t="s">
        <v>232</v>
      </c>
      <c r="C62" s="16" t="s">
        <v>78</v>
      </c>
      <c r="D62" s="16">
        <v>1922</v>
      </c>
    </row>
    <row r="63" spans="1:4" x14ac:dyDescent="0.3">
      <c r="A63" s="16" t="s">
        <v>293</v>
      </c>
      <c r="B63" s="16" t="s">
        <v>233</v>
      </c>
      <c r="C63" s="16" t="s">
        <v>302</v>
      </c>
      <c r="D63" s="16">
        <v>1870</v>
      </c>
    </row>
    <row r="64" spans="1:4" x14ac:dyDescent="0.3">
      <c r="A64" s="16" t="s">
        <v>294</v>
      </c>
      <c r="B64" s="16" t="s">
        <v>234</v>
      </c>
      <c r="C64" s="16" t="s">
        <v>301</v>
      </c>
      <c r="D64" s="16">
        <v>2617</v>
      </c>
    </row>
    <row r="65" spans="1:4" x14ac:dyDescent="0.3">
      <c r="A65" s="16" t="s">
        <v>295</v>
      </c>
      <c r="B65" s="16" t="s">
        <v>235</v>
      </c>
      <c r="C65" s="16" t="s">
        <v>301</v>
      </c>
      <c r="D65" s="16">
        <v>3467</v>
      </c>
    </row>
  </sheetData>
  <hyperlinks>
    <hyperlink ref="A1" location="Topics!B11" display="Home" xr:uid="{00000000-0004-0000-1500-000000000000}"/>
  </hyperlinks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rgb="FF0000FF"/>
  </sheetPr>
  <dimension ref="A1:G64"/>
  <sheetViews>
    <sheetView workbookViewId="0">
      <selection activeCell="H20" sqref="H20"/>
    </sheetView>
  </sheetViews>
  <sheetFormatPr defaultRowHeight="14.4" x14ac:dyDescent="0.3"/>
  <cols>
    <col min="1" max="1" width="22.109375" customWidth="1"/>
    <col min="2" max="2" width="21.33203125" customWidth="1"/>
    <col min="3" max="3" width="18.33203125" customWidth="1"/>
    <col min="4" max="4" width="13.5546875" customWidth="1"/>
    <col min="6" max="6" width="18.44140625" customWidth="1"/>
    <col min="7" max="7" width="12" customWidth="1"/>
  </cols>
  <sheetData>
    <row r="1" spans="1:7" x14ac:dyDescent="0.3">
      <c r="A1" s="13" t="s">
        <v>35</v>
      </c>
    </row>
    <row r="2" spans="1:7" ht="18" x14ac:dyDescent="0.35">
      <c r="A2" s="27" t="str">
        <f ca="1">"Topic: "&amp;INDEX(Topics!$A$12:$A$42,MATCH(REPLACE(CELL("filename",A1),1,SEARCH("]",CELL("filename",A1)),""),Topics!$C$12:$C$42,0))</f>
        <v>Topic: COUNTIF</v>
      </c>
      <c r="B2" s="1" t="s">
        <v>326</v>
      </c>
    </row>
    <row r="4" spans="1:7" ht="28.8" x14ac:dyDescent="0.3">
      <c r="A4" s="21" t="s">
        <v>178</v>
      </c>
      <c r="B4" s="21" t="s">
        <v>37</v>
      </c>
      <c r="C4" s="21" t="s">
        <v>299</v>
      </c>
      <c r="D4" s="23" t="s">
        <v>309</v>
      </c>
      <c r="F4" s="21" t="s">
        <v>299</v>
      </c>
      <c r="G4" s="21" t="s">
        <v>312</v>
      </c>
    </row>
    <row r="5" spans="1:7" x14ac:dyDescent="0.3">
      <c r="A5" s="16" t="s">
        <v>236</v>
      </c>
      <c r="B5" s="16" t="s">
        <v>179</v>
      </c>
      <c r="C5" s="16" t="s">
        <v>78</v>
      </c>
      <c r="D5" s="16">
        <v>3063</v>
      </c>
      <c r="F5" s="16" t="s">
        <v>78</v>
      </c>
      <c r="G5" s="24">
        <f>COUNTIFS($C$5:$C$64,F5)</f>
        <v>13</v>
      </c>
    </row>
    <row r="6" spans="1:7" x14ac:dyDescent="0.3">
      <c r="A6" s="16" t="s">
        <v>237</v>
      </c>
      <c r="B6" s="16" t="s">
        <v>180</v>
      </c>
      <c r="C6" s="16" t="s">
        <v>78</v>
      </c>
      <c r="D6" s="16">
        <v>274</v>
      </c>
      <c r="F6" s="16" t="s">
        <v>300</v>
      </c>
      <c r="G6" s="24">
        <f t="shared" ref="G6:G9" si="0">COUNTIFS($C$5:$C$64,F6)</f>
        <v>12</v>
      </c>
    </row>
    <row r="7" spans="1:7" x14ac:dyDescent="0.3">
      <c r="A7" s="16" t="s">
        <v>238</v>
      </c>
      <c r="B7" s="16" t="s">
        <v>181</v>
      </c>
      <c r="C7" s="16" t="s">
        <v>300</v>
      </c>
      <c r="D7" s="16">
        <v>1621</v>
      </c>
      <c r="F7" s="16" t="s">
        <v>301</v>
      </c>
      <c r="G7" s="24">
        <f t="shared" si="0"/>
        <v>12</v>
      </c>
    </row>
    <row r="8" spans="1:7" x14ac:dyDescent="0.3">
      <c r="A8" s="16" t="s">
        <v>239</v>
      </c>
      <c r="B8" s="16" t="s">
        <v>182</v>
      </c>
      <c r="C8" s="16" t="s">
        <v>301</v>
      </c>
      <c r="D8" s="16">
        <v>2034</v>
      </c>
      <c r="F8" s="16" t="s">
        <v>303</v>
      </c>
      <c r="G8" s="24">
        <f t="shared" si="0"/>
        <v>14</v>
      </c>
    </row>
    <row r="9" spans="1:7" x14ac:dyDescent="0.3">
      <c r="A9" s="16" t="s">
        <v>240</v>
      </c>
      <c r="B9" s="16" t="s">
        <v>183</v>
      </c>
      <c r="C9" s="16" t="s">
        <v>300</v>
      </c>
      <c r="D9" s="16">
        <v>1219</v>
      </c>
      <c r="F9" s="16" t="s">
        <v>302</v>
      </c>
      <c r="G9" s="24">
        <f t="shared" si="0"/>
        <v>9</v>
      </c>
    </row>
    <row r="10" spans="1:7" x14ac:dyDescent="0.3">
      <c r="A10" s="16" t="s">
        <v>241</v>
      </c>
      <c r="B10" s="16" t="s">
        <v>184</v>
      </c>
      <c r="C10" s="16" t="s">
        <v>301</v>
      </c>
      <c r="D10" s="16">
        <v>1817</v>
      </c>
    </row>
    <row r="11" spans="1:7" x14ac:dyDescent="0.3">
      <c r="A11" s="16" t="s">
        <v>242</v>
      </c>
      <c r="B11" s="16" t="s">
        <v>185</v>
      </c>
      <c r="C11" s="16" t="s">
        <v>300</v>
      </c>
      <c r="D11" s="16">
        <v>2998</v>
      </c>
    </row>
    <row r="12" spans="1:7" x14ac:dyDescent="0.3">
      <c r="A12" s="16" t="s">
        <v>243</v>
      </c>
      <c r="B12" s="16" t="s">
        <v>186</v>
      </c>
      <c r="C12" s="16" t="s">
        <v>78</v>
      </c>
      <c r="D12" s="16">
        <v>1944</v>
      </c>
    </row>
    <row r="13" spans="1:7" x14ac:dyDescent="0.3">
      <c r="A13" s="16" t="s">
        <v>244</v>
      </c>
      <c r="B13" s="16" t="s">
        <v>187</v>
      </c>
      <c r="C13" s="16" t="s">
        <v>303</v>
      </c>
      <c r="D13" s="16">
        <v>1976</v>
      </c>
    </row>
    <row r="14" spans="1:7" x14ac:dyDescent="0.3">
      <c r="A14" s="16" t="s">
        <v>245</v>
      </c>
      <c r="B14" s="16" t="s">
        <v>188</v>
      </c>
      <c r="C14" s="16" t="s">
        <v>303</v>
      </c>
      <c r="D14" s="16">
        <v>1396</v>
      </c>
    </row>
    <row r="15" spans="1:7" x14ac:dyDescent="0.3">
      <c r="A15" s="16" t="s">
        <v>246</v>
      </c>
      <c r="B15" s="16" t="s">
        <v>189</v>
      </c>
      <c r="C15" s="16" t="s">
        <v>300</v>
      </c>
      <c r="D15" s="16">
        <v>2171</v>
      </c>
    </row>
    <row r="16" spans="1:7" x14ac:dyDescent="0.3">
      <c r="A16" s="16" t="s">
        <v>247</v>
      </c>
      <c r="B16" s="16" t="s">
        <v>296</v>
      </c>
      <c r="C16" s="16" t="s">
        <v>303</v>
      </c>
      <c r="D16" s="16">
        <v>2050</v>
      </c>
    </row>
    <row r="17" spans="1:4" x14ac:dyDescent="0.3">
      <c r="A17" s="16" t="s">
        <v>248</v>
      </c>
      <c r="B17" s="16" t="s">
        <v>190</v>
      </c>
      <c r="C17" s="16" t="s">
        <v>303</v>
      </c>
      <c r="D17" s="16">
        <v>2739</v>
      </c>
    </row>
    <row r="18" spans="1:4" x14ac:dyDescent="0.3">
      <c r="A18" s="16" t="s">
        <v>249</v>
      </c>
      <c r="B18" s="16" t="s">
        <v>191</v>
      </c>
      <c r="C18" s="16" t="s">
        <v>302</v>
      </c>
      <c r="D18" s="16">
        <v>1877</v>
      </c>
    </row>
    <row r="19" spans="1:4" x14ac:dyDescent="0.3">
      <c r="A19" s="16" t="s">
        <v>250</v>
      </c>
      <c r="B19" s="16" t="s">
        <v>192</v>
      </c>
      <c r="C19" s="16" t="s">
        <v>301</v>
      </c>
      <c r="D19" s="16">
        <v>2896</v>
      </c>
    </row>
    <row r="20" spans="1:4" x14ac:dyDescent="0.3">
      <c r="A20" s="16" t="s">
        <v>251</v>
      </c>
      <c r="B20" s="16" t="s">
        <v>193</v>
      </c>
      <c r="C20" s="16" t="s">
        <v>78</v>
      </c>
      <c r="D20" s="16">
        <v>2298</v>
      </c>
    </row>
    <row r="21" spans="1:4" x14ac:dyDescent="0.3">
      <c r="A21" s="16" t="s">
        <v>252</v>
      </c>
      <c r="B21" s="16" t="s">
        <v>194</v>
      </c>
      <c r="C21" s="16" t="s">
        <v>78</v>
      </c>
      <c r="D21" s="16">
        <v>1134</v>
      </c>
    </row>
    <row r="22" spans="1:4" x14ac:dyDescent="0.3">
      <c r="A22" s="16" t="s">
        <v>253</v>
      </c>
      <c r="B22" s="16" t="s">
        <v>195</v>
      </c>
      <c r="C22" s="16" t="s">
        <v>300</v>
      </c>
      <c r="D22" s="16">
        <v>1262</v>
      </c>
    </row>
    <row r="23" spans="1:4" x14ac:dyDescent="0.3">
      <c r="A23" s="16" t="s">
        <v>254</v>
      </c>
      <c r="B23" s="16" t="s">
        <v>196</v>
      </c>
      <c r="C23" s="16" t="s">
        <v>301</v>
      </c>
      <c r="D23" s="16">
        <v>3489</v>
      </c>
    </row>
    <row r="24" spans="1:4" x14ac:dyDescent="0.3">
      <c r="A24" s="16" t="s">
        <v>255</v>
      </c>
      <c r="B24" s="16" t="s">
        <v>197</v>
      </c>
      <c r="C24" s="16" t="s">
        <v>78</v>
      </c>
      <c r="D24" s="16">
        <v>3460</v>
      </c>
    </row>
    <row r="25" spans="1:4" x14ac:dyDescent="0.3">
      <c r="A25" s="16" t="s">
        <v>256</v>
      </c>
      <c r="B25" s="16" t="s">
        <v>198</v>
      </c>
      <c r="C25" s="16" t="s">
        <v>78</v>
      </c>
      <c r="D25" s="16">
        <v>1076</v>
      </c>
    </row>
    <row r="26" spans="1:4" x14ac:dyDescent="0.3">
      <c r="A26" s="16" t="s">
        <v>257</v>
      </c>
      <c r="B26" s="16" t="s">
        <v>199</v>
      </c>
      <c r="C26" s="16" t="s">
        <v>300</v>
      </c>
      <c r="D26" s="16">
        <v>104</v>
      </c>
    </row>
    <row r="27" spans="1:4" x14ac:dyDescent="0.3">
      <c r="A27" s="16" t="s">
        <v>258</v>
      </c>
      <c r="B27" s="16" t="s">
        <v>200</v>
      </c>
      <c r="C27" s="16" t="s">
        <v>302</v>
      </c>
      <c r="D27" s="16">
        <v>180</v>
      </c>
    </row>
    <row r="28" spans="1:4" x14ac:dyDescent="0.3">
      <c r="A28" s="16" t="s">
        <v>259</v>
      </c>
      <c r="B28" s="16" t="s">
        <v>201</v>
      </c>
      <c r="C28" s="16" t="s">
        <v>300</v>
      </c>
      <c r="D28" s="16">
        <v>1873</v>
      </c>
    </row>
    <row r="29" spans="1:4" x14ac:dyDescent="0.3">
      <c r="A29" s="16" t="s">
        <v>260</v>
      </c>
      <c r="B29" s="16" t="s">
        <v>202</v>
      </c>
      <c r="C29" s="16" t="s">
        <v>303</v>
      </c>
      <c r="D29" s="16">
        <v>2348</v>
      </c>
    </row>
    <row r="30" spans="1:4" x14ac:dyDescent="0.3">
      <c r="A30" s="16" t="s">
        <v>261</v>
      </c>
      <c r="B30" s="16" t="s">
        <v>203</v>
      </c>
      <c r="C30" s="16" t="s">
        <v>78</v>
      </c>
      <c r="D30" s="16">
        <v>1370</v>
      </c>
    </row>
    <row r="31" spans="1:4" x14ac:dyDescent="0.3">
      <c r="A31" s="16" t="s">
        <v>262</v>
      </c>
      <c r="B31" s="16" t="s">
        <v>204</v>
      </c>
      <c r="C31" s="16" t="s">
        <v>303</v>
      </c>
      <c r="D31" s="16">
        <v>1764</v>
      </c>
    </row>
    <row r="32" spans="1:4" x14ac:dyDescent="0.3">
      <c r="A32" s="16" t="s">
        <v>263</v>
      </c>
      <c r="B32" s="16" t="s">
        <v>205</v>
      </c>
      <c r="C32" s="16" t="s">
        <v>78</v>
      </c>
      <c r="D32" s="16">
        <v>3318</v>
      </c>
    </row>
    <row r="33" spans="1:4" x14ac:dyDescent="0.3">
      <c r="A33" s="16" t="s">
        <v>264</v>
      </c>
      <c r="B33" s="16" t="s">
        <v>206</v>
      </c>
      <c r="C33" s="16" t="s">
        <v>300</v>
      </c>
      <c r="D33" s="16">
        <v>1725</v>
      </c>
    </row>
    <row r="34" spans="1:4" x14ac:dyDescent="0.3">
      <c r="A34" s="16" t="s">
        <v>265</v>
      </c>
      <c r="B34" s="16" t="s">
        <v>207</v>
      </c>
      <c r="C34" s="16" t="s">
        <v>301</v>
      </c>
      <c r="D34" s="16">
        <v>2844</v>
      </c>
    </row>
    <row r="35" spans="1:4" x14ac:dyDescent="0.3">
      <c r="A35" s="16" t="s">
        <v>266</v>
      </c>
      <c r="B35" s="16" t="s">
        <v>208</v>
      </c>
      <c r="C35" s="16" t="s">
        <v>302</v>
      </c>
      <c r="D35" s="16">
        <v>2252</v>
      </c>
    </row>
    <row r="36" spans="1:4" x14ac:dyDescent="0.3">
      <c r="A36" s="16" t="s">
        <v>267</v>
      </c>
      <c r="B36" s="16" t="s">
        <v>209</v>
      </c>
      <c r="C36" s="16" t="s">
        <v>302</v>
      </c>
      <c r="D36" s="16">
        <v>2898</v>
      </c>
    </row>
    <row r="37" spans="1:4" x14ac:dyDescent="0.3">
      <c r="A37" s="16" t="s">
        <v>268</v>
      </c>
      <c r="B37" s="16" t="s">
        <v>210</v>
      </c>
      <c r="C37" s="16" t="s">
        <v>303</v>
      </c>
      <c r="D37" s="16">
        <v>2240</v>
      </c>
    </row>
    <row r="38" spans="1:4" x14ac:dyDescent="0.3">
      <c r="A38" s="16" t="s">
        <v>269</v>
      </c>
      <c r="B38" s="16" t="s">
        <v>211</v>
      </c>
      <c r="C38" s="16" t="s">
        <v>300</v>
      </c>
      <c r="D38" s="16">
        <v>297</v>
      </c>
    </row>
    <row r="39" spans="1:4" x14ac:dyDescent="0.3">
      <c r="A39" s="16" t="s">
        <v>270</v>
      </c>
      <c r="B39" s="16" t="s">
        <v>212</v>
      </c>
      <c r="C39" s="16" t="s">
        <v>301</v>
      </c>
      <c r="D39" s="16">
        <v>2928</v>
      </c>
    </row>
    <row r="40" spans="1:4" x14ac:dyDescent="0.3">
      <c r="A40" s="16" t="s">
        <v>271</v>
      </c>
      <c r="B40" s="16" t="s">
        <v>213</v>
      </c>
      <c r="C40" s="16" t="s">
        <v>301</v>
      </c>
      <c r="D40" s="16">
        <v>2686</v>
      </c>
    </row>
    <row r="41" spans="1:4" x14ac:dyDescent="0.3">
      <c r="A41" s="16" t="s">
        <v>272</v>
      </c>
      <c r="B41" s="16" t="s">
        <v>214</v>
      </c>
      <c r="C41" s="16" t="s">
        <v>302</v>
      </c>
      <c r="D41" s="16">
        <v>2160</v>
      </c>
    </row>
    <row r="42" spans="1:4" x14ac:dyDescent="0.3">
      <c r="A42" s="16" t="s">
        <v>273</v>
      </c>
      <c r="B42" s="16" t="s">
        <v>215</v>
      </c>
      <c r="C42" s="16" t="s">
        <v>78</v>
      </c>
      <c r="D42" s="16">
        <v>3493</v>
      </c>
    </row>
    <row r="43" spans="1:4" x14ac:dyDescent="0.3">
      <c r="A43" s="16" t="s">
        <v>274</v>
      </c>
      <c r="B43" s="16" t="s">
        <v>216</v>
      </c>
      <c r="C43" s="16" t="s">
        <v>300</v>
      </c>
      <c r="D43" s="16">
        <v>2891</v>
      </c>
    </row>
    <row r="44" spans="1:4" x14ac:dyDescent="0.3">
      <c r="A44" s="16" t="s">
        <v>275</v>
      </c>
      <c r="B44" s="16" t="s">
        <v>298</v>
      </c>
      <c r="C44" s="16" t="s">
        <v>301</v>
      </c>
      <c r="D44" s="16">
        <v>388</v>
      </c>
    </row>
    <row r="45" spans="1:4" x14ac:dyDescent="0.3">
      <c r="A45" s="16" t="s">
        <v>276</v>
      </c>
      <c r="B45" s="16" t="s">
        <v>217</v>
      </c>
      <c r="C45" s="16" t="s">
        <v>303</v>
      </c>
      <c r="D45" s="16">
        <v>264</v>
      </c>
    </row>
    <row r="46" spans="1:4" x14ac:dyDescent="0.3">
      <c r="A46" s="16" t="s">
        <v>277</v>
      </c>
      <c r="B46" s="16" t="s">
        <v>218</v>
      </c>
      <c r="C46" s="16" t="s">
        <v>78</v>
      </c>
      <c r="D46" s="16">
        <v>2803</v>
      </c>
    </row>
    <row r="47" spans="1:4" x14ac:dyDescent="0.3">
      <c r="A47" s="16" t="s">
        <v>278</v>
      </c>
      <c r="B47" s="16" t="s">
        <v>297</v>
      </c>
      <c r="C47" s="16" t="s">
        <v>300</v>
      </c>
      <c r="D47" s="16">
        <v>472</v>
      </c>
    </row>
    <row r="48" spans="1:4" x14ac:dyDescent="0.3">
      <c r="A48" s="16" t="s">
        <v>279</v>
      </c>
      <c r="B48" s="16" t="s">
        <v>219</v>
      </c>
      <c r="C48" s="16" t="s">
        <v>302</v>
      </c>
      <c r="D48" s="16">
        <v>1300</v>
      </c>
    </row>
    <row r="49" spans="1:4" x14ac:dyDescent="0.3">
      <c r="A49" s="16" t="s">
        <v>280</v>
      </c>
      <c r="B49" s="16" t="s">
        <v>220</v>
      </c>
      <c r="C49" s="16" t="s">
        <v>303</v>
      </c>
      <c r="D49" s="16">
        <v>3531</v>
      </c>
    </row>
    <row r="50" spans="1:4" x14ac:dyDescent="0.3">
      <c r="A50" s="16" t="s">
        <v>281</v>
      </c>
      <c r="B50" s="16" t="s">
        <v>221</v>
      </c>
      <c r="C50" s="16" t="s">
        <v>301</v>
      </c>
      <c r="D50" s="16">
        <v>2001</v>
      </c>
    </row>
    <row r="51" spans="1:4" x14ac:dyDescent="0.3">
      <c r="A51" s="16" t="s">
        <v>282</v>
      </c>
      <c r="B51" s="16" t="s">
        <v>222</v>
      </c>
      <c r="C51" s="16" t="s">
        <v>302</v>
      </c>
      <c r="D51" s="16">
        <v>340</v>
      </c>
    </row>
    <row r="52" spans="1:4" x14ac:dyDescent="0.3">
      <c r="A52" s="16" t="s">
        <v>283</v>
      </c>
      <c r="B52" s="16" t="s">
        <v>223</v>
      </c>
      <c r="C52" s="16" t="s">
        <v>301</v>
      </c>
      <c r="D52" s="16">
        <v>1884</v>
      </c>
    </row>
    <row r="53" spans="1:4" x14ac:dyDescent="0.3">
      <c r="A53" s="16" t="s">
        <v>284</v>
      </c>
      <c r="B53" s="16" t="s">
        <v>224</v>
      </c>
      <c r="C53" s="16" t="s">
        <v>303</v>
      </c>
      <c r="D53" s="16">
        <v>1964</v>
      </c>
    </row>
    <row r="54" spans="1:4" x14ac:dyDescent="0.3">
      <c r="A54" s="16" t="s">
        <v>285</v>
      </c>
      <c r="B54" s="16" t="s">
        <v>225</v>
      </c>
      <c r="C54" s="16" t="s">
        <v>302</v>
      </c>
      <c r="D54" s="16">
        <v>1224</v>
      </c>
    </row>
    <row r="55" spans="1:4" x14ac:dyDescent="0.3">
      <c r="A55" s="16" t="s">
        <v>286</v>
      </c>
      <c r="B55" s="16" t="s">
        <v>226</v>
      </c>
      <c r="C55" s="16" t="s">
        <v>303</v>
      </c>
      <c r="D55" s="16">
        <v>3222</v>
      </c>
    </row>
    <row r="56" spans="1:4" x14ac:dyDescent="0.3">
      <c r="A56" s="16" t="s">
        <v>287</v>
      </c>
      <c r="B56" s="16" t="s">
        <v>227</v>
      </c>
      <c r="C56" s="16" t="s">
        <v>303</v>
      </c>
      <c r="D56" s="16">
        <v>1355</v>
      </c>
    </row>
    <row r="57" spans="1:4" x14ac:dyDescent="0.3">
      <c r="A57" s="16" t="s">
        <v>288</v>
      </c>
      <c r="B57" s="16" t="s">
        <v>228</v>
      </c>
      <c r="C57" s="16" t="s">
        <v>303</v>
      </c>
      <c r="D57" s="16">
        <v>2726</v>
      </c>
    </row>
    <row r="58" spans="1:4" x14ac:dyDescent="0.3">
      <c r="A58" s="16" t="s">
        <v>289</v>
      </c>
      <c r="B58" s="16" t="s">
        <v>229</v>
      </c>
      <c r="C58" s="16" t="s">
        <v>78</v>
      </c>
      <c r="D58" s="16">
        <v>278</v>
      </c>
    </row>
    <row r="59" spans="1:4" x14ac:dyDescent="0.3">
      <c r="A59" s="16" t="s">
        <v>290</v>
      </c>
      <c r="B59" s="16" t="s">
        <v>230</v>
      </c>
      <c r="C59" s="16" t="s">
        <v>303</v>
      </c>
      <c r="D59" s="16">
        <v>2603</v>
      </c>
    </row>
    <row r="60" spans="1:4" x14ac:dyDescent="0.3">
      <c r="A60" s="16" t="s">
        <v>291</v>
      </c>
      <c r="B60" s="16" t="s">
        <v>231</v>
      </c>
      <c r="C60" s="16" t="s">
        <v>300</v>
      </c>
      <c r="D60" s="16">
        <v>1463</v>
      </c>
    </row>
    <row r="61" spans="1:4" x14ac:dyDescent="0.3">
      <c r="A61" s="16" t="s">
        <v>292</v>
      </c>
      <c r="B61" s="16" t="s">
        <v>232</v>
      </c>
      <c r="C61" s="16" t="s">
        <v>78</v>
      </c>
      <c r="D61" s="16">
        <v>1922</v>
      </c>
    </row>
    <row r="62" spans="1:4" x14ac:dyDescent="0.3">
      <c r="A62" s="16" t="s">
        <v>293</v>
      </c>
      <c r="B62" s="16" t="s">
        <v>233</v>
      </c>
      <c r="C62" s="16" t="s">
        <v>302</v>
      </c>
      <c r="D62" s="16">
        <v>1870</v>
      </c>
    </row>
    <row r="63" spans="1:4" x14ac:dyDescent="0.3">
      <c r="A63" s="16" t="s">
        <v>294</v>
      </c>
      <c r="B63" s="16" t="s">
        <v>234</v>
      </c>
      <c r="C63" s="16" t="s">
        <v>301</v>
      </c>
      <c r="D63" s="16">
        <v>2617</v>
      </c>
    </row>
    <row r="64" spans="1:4" x14ac:dyDescent="0.3">
      <c r="A64" s="16" t="s">
        <v>295</v>
      </c>
      <c r="B64" s="16" t="s">
        <v>235</v>
      </c>
      <c r="C64" s="16" t="s">
        <v>301</v>
      </c>
      <c r="D64" s="16">
        <v>3467</v>
      </c>
    </row>
  </sheetData>
  <hyperlinks>
    <hyperlink ref="A1" location="Topics!B11" display="Home" xr:uid="{00000000-0004-0000-1600-000000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rgb="FF0000FF"/>
  </sheetPr>
  <dimension ref="A1:I17"/>
  <sheetViews>
    <sheetView workbookViewId="0">
      <selection activeCell="E19" sqref="E19"/>
    </sheetView>
  </sheetViews>
  <sheetFormatPr defaultRowHeight="14.4" x14ac:dyDescent="0.3"/>
  <cols>
    <col min="1" max="1" width="19.88671875" customWidth="1"/>
    <col min="2" max="2" width="3.109375" customWidth="1"/>
    <col min="3" max="3" width="21.33203125" customWidth="1"/>
    <col min="4" max="4" width="32.44140625" customWidth="1"/>
    <col min="5" max="5" width="12.88671875" customWidth="1"/>
    <col min="6" max="6" width="12.109375" bestFit="1" customWidth="1"/>
    <col min="7" max="7" width="1.109375" customWidth="1"/>
    <col min="8" max="8" width="23.6640625" customWidth="1"/>
    <col min="9" max="9" width="34.77734375" customWidth="1"/>
  </cols>
  <sheetData>
    <row r="1" spans="1:9" x14ac:dyDescent="0.3">
      <c r="A1" s="13" t="s">
        <v>35</v>
      </c>
    </row>
    <row r="2" spans="1:9" ht="18" x14ac:dyDescent="0.35">
      <c r="A2" s="27" t="str">
        <f ca="1">"Topic: "&amp;INDEX(Topics!$A$12:$A$42,MATCH(REPLACE(CELL("filename",A1),1,SEARCH("]",CELL("filename",A1)),""),Topics!$C$12:$C$42,0))</f>
        <v>Topic: Formula to Compare Two Lists</v>
      </c>
    </row>
    <row r="4" spans="1:9" x14ac:dyDescent="0.3">
      <c r="A4" s="25" t="s">
        <v>66</v>
      </c>
      <c r="C4" s="25" t="s">
        <v>67</v>
      </c>
      <c r="H4" s="25" t="s">
        <v>67</v>
      </c>
    </row>
    <row r="6" spans="1:9" ht="43.2" x14ac:dyDescent="0.3">
      <c r="A6" s="21" t="s">
        <v>60</v>
      </c>
      <c r="C6" s="21" t="s">
        <v>60</v>
      </c>
      <c r="D6" s="23" t="s">
        <v>70</v>
      </c>
      <c r="F6" s="1" t="s">
        <v>324</v>
      </c>
      <c r="H6" s="21" t="s">
        <v>60</v>
      </c>
      <c r="I6" s="23" t="s">
        <v>330</v>
      </c>
    </row>
    <row r="7" spans="1:9" x14ac:dyDescent="0.3">
      <c r="A7" s="16" t="s">
        <v>61</v>
      </c>
      <c r="C7" s="16" t="s">
        <v>61</v>
      </c>
      <c r="D7" s="24" t="b">
        <f>ISNUMBER(MATCH(C7,$A$7:$A$12,0))</f>
        <v>1</v>
      </c>
      <c r="H7" s="16" t="s">
        <v>61</v>
      </c>
      <c r="I7" s="24" t="b">
        <f>ISNA(MATCH(H7,$A$7:$A$12,0))</f>
        <v>0</v>
      </c>
    </row>
    <row r="8" spans="1:9" x14ac:dyDescent="0.3">
      <c r="A8" s="16" t="s">
        <v>62</v>
      </c>
      <c r="C8" s="16" t="s">
        <v>68</v>
      </c>
      <c r="D8" s="24" t="b">
        <f t="shared" ref="D8:D12" si="0">ISNUMBER(MATCH(C8,$A$7:$A$12,0))</f>
        <v>0</v>
      </c>
      <c r="H8" s="16" t="s">
        <v>68</v>
      </c>
      <c r="I8" s="24" t="b">
        <f t="shared" ref="I8:I12" si="1">ISNA(MATCH(H8,$A$7:$A$12,0))</f>
        <v>1</v>
      </c>
    </row>
    <row r="9" spans="1:9" x14ac:dyDescent="0.3">
      <c r="A9" s="16" t="s">
        <v>63</v>
      </c>
      <c r="C9" s="16" t="s">
        <v>63</v>
      </c>
      <c r="D9" s="24" t="b">
        <f t="shared" si="0"/>
        <v>1</v>
      </c>
      <c r="H9" s="16" t="s">
        <v>63</v>
      </c>
      <c r="I9" s="24" t="b">
        <f t="shared" si="1"/>
        <v>0</v>
      </c>
    </row>
    <row r="10" spans="1:9" x14ac:dyDescent="0.3">
      <c r="A10" s="16" t="s">
        <v>64</v>
      </c>
      <c r="C10" s="16" t="s">
        <v>64</v>
      </c>
      <c r="D10" s="24" t="b">
        <f t="shared" si="0"/>
        <v>1</v>
      </c>
      <c r="H10" s="16" t="s">
        <v>64</v>
      </c>
      <c r="I10" s="24" t="b">
        <f t="shared" si="1"/>
        <v>0</v>
      </c>
    </row>
    <row r="11" spans="1:9" x14ac:dyDescent="0.3">
      <c r="A11" s="16" t="s">
        <v>65</v>
      </c>
      <c r="C11" s="16" t="s">
        <v>65</v>
      </c>
      <c r="D11" s="24" t="b">
        <f t="shared" si="0"/>
        <v>1</v>
      </c>
      <c r="H11" s="16" t="s">
        <v>65</v>
      </c>
      <c r="I11" s="24" t="b">
        <f t="shared" si="1"/>
        <v>0</v>
      </c>
    </row>
    <row r="12" spans="1:9" x14ac:dyDescent="0.3">
      <c r="A12" s="16" t="s">
        <v>41</v>
      </c>
      <c r="C12" s="16" t="s">
        <v>69</v>
      </c>
      <c r="D12" s="24" t="b">
        <f t="shared" si="0"/>
        <v>0</v>
      </c>
      <c r="H12" s="16" t="s">
        <v>69</v>
      </c>
      <c r="I12" s="24" t="b">
        <f t="shared" si="1"/>
        <v>1</v>
      </c>
    </row>
    <row r="13" spans="1:9" x14ac:dyDescent="0.3">
      <c r="D13" t="s">
        <v>341</v>
      </c>
      <c r="I13" t="s">
        <v>342</v>
      </c>
    </row>
    <row r="15" spans="1:9" x14ac:dyDescent="0.3">
      <c r="A15" s="1" t="s">
        <v>327</v>
      </c>
    </row>
    <row r="16" spans="1:9" x14ac:dyDescent="0.3">
      <c r="A16" s="1" t="s">
        <v>328</v>
      </c>
    </row>
    <row r="17" spans="1:1" x14ac:dyDescent="0.3">
      <c r="A17" s="1" t="s">
        <v>329</v>
      </c>
    </row>
  </sheetData>
  <hyperlinks>
    <hyperlink ref="A1" location="Topics!B11" display="Home" xr:uid="{00000000-0004-0000-17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9</vt:i4>
      </vt:variant>
    </vt:vector>
  </HeadingPairs>
  <TitlesOfParts>
    <vt:vector size="32" baseType="lpstr">
      <vt:lpstr>Topics</vt:lpstr>
      <vt:lpstr>D</vt:lpstr>
      <vt:lpstr>S(1)</vt:lpstr>
      <vt:lpstr>S(2)</vt:lpstr>
      <vt:lpstr>S(3)</vt:lpstr>
      <vt:lpstr>F(1)</vt:lpstr>
      <vt:lpstr>F(2)</vt:lpstr>
      <vt:lpstr>F(3)</vt:lpstr>
      <vt:lpstr>F(4)</vt:lpstr>
      <vt:lpstr>F(5)</vt:lpstr>
      <vt:lpstr>Adv F1</vt:lpstr>
      <vt:lpstr>Adv F2</vt:lpstr>
      <vt:lpstr>Adv F3</vt:lpstr>
      <vt:lpstr>Dynamic Filters</vt:lpstr>
      <vt:lpstr>PT(1)</vt:lpstr>
      <vt:lpstr>PT(2)</vt:lpstr>
      <vt:lpstr>PT(3)</vt:lpstr>
      <vt:lpstr>PT(4)</vt:lpstr>
      <vt:lpstr>PT(5)</vt:lpstr>
      <vt:lpstr>C(1)</vt:lpstr>
      <vt:lpstr>For(1)</vt:lpstr>
      <vt:lpstr>For(2)</vt:lpstr>
      <vt:lpstr>For(3)</vt:lpstr>
      <vt:lpstr>'Adv F1'!Criteria</vt:lpstr>
      <vt:lpstr>'Adv F2'!Criteria</vt:lpstr>
      <vt:lpstr>'Adv F3'!Criteria</vt:lpstr>
      <vt:lpstr>'Adv F1'!Extract</vt:lpstr>
      <vt:lpstr>'Adv F2'!Extract</vt:lpstr>
      <vt:lpstr>'Adv F3'!Extract</vt:lpstr>
      <vt:lpstr>'For(1)'!Extract</vt:lpstr>
      <vt:lpstr>'For(2)'!Extract</vt:lpstr>
      <vt:lpstr>'For(3)'!Extract</vt:lpstr>
    </vt:vector>
  </TitlesOfParts>
  <Company>Highline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Faraz Ahmad</cp:lastModifiedBy>
  <dcterms:created xsi:type="dcterms:W3CDTF">2012-09-24T21:40:18Z</dcterms:created>
  <dcterms:modified xsi:type="dcterms:W3CDTF">2023-06-02T16:13:40Z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29a56552-b2cc-4afc-9631-4741d075ad4d</vt:lpwstr>
  </property>
</Properties>
</file>